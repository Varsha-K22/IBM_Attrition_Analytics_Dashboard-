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ProgramData\MySQL\MySQL Server 8.0\Uploads\Attrition\"/>
    </mc:Choice>
  </mc:AlternateContent>
  <xr:revisionPtr revIDLastSave="0" documentId="13_ncr:1_{D2079268-6283-4008-9EFB-66947C39885D}" xr6:coauthVersionLast="47" xr6:coauthVersionMax="47" xr10:uidLastSave="{00000000-0000-0000-0000-000000000000}"/>
  <bookViews>
    <workbookView xWindow="-108" yWindow="-108" windowWidth="23256" windowHeight="12456" activeTab="1" xr2:uid="{25D9AC49-F4A3-4C03-B52A-FD03DEBF75F3}"/>
  </bookViews>
  <sheets>
    <sheet name="Pivots &amp; Charts" sheetId="6" r:id="rId1"/>
    <sheet name="Dashboard" sheetId="7" r:id="rId2"/>
    <sheet name="attrition_by_dept" sheetId="1" r:id="rId3"/>
    <sheet name="attrition_by_experience" sheetId="2" r:id="rId4"/>
    <sheet name="attrition_by_gender" sheetId="3" r:id="rId5"/>
    <sheet name="attrition_by_salary" sheetId="4" r:id="rId6"/>
    <sheet name="KPIs" sheetId="5" r:id="rId7"/>
  </sheets>
  <definedNames>
    <definedName name="Slicer_Department">#N/A</definedName>
    <definedName name="Slicer_Experience_Bracket">#N/A</definedName>
    <definedName name="Slicer_Gender">#N/A</definedName>
    <definedName name="Slicer_Salary_Rang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2" l="1"/>
</calcChain>
</file>

<file path=xl/sharedStrings.xml><?xml version="1.0" encoding="utf-8"?>
<sst xmlns="http://schemas.openxmlformats.org/spreadsheetml/2006/main" count="66" uniqueCount="36">
  <si>
    <t>Department</t>
  </si>
  <si>
    <t>Total_Employees</t>
  </si>
  <si>
    <t>Attrition_Count</t>
  </si>
  <si>
    <t>Attrition_Rate_Percent</t>
  </si>
  <si>
    <t>Sales</t>
  </si>
  <si>
    <t>Research &amp; Development</t>
  </si>
  <si>
    <t>Human Resources</t>
  </si>
  <si>
    <t>Experience_Bracket</t>
  </si>
  <si>
    <t>6-10 Years</t>
  </si>
  <si>
    <t>11+ Years</t>
  </si>
  <si>
    <t>0-2 Years</t>
  </si>
  <si>
    <t>3-5 Years</t>
  </si>
  <si>
    <t>Gender</t>
  </si>
  <si>
    <t>Left_Count</t>
  </si>
  <si>
    <t>Female</t>
  </si>
  <si>
    <t>Male</t>
  </si>
  <si>
    <t>Salary_Range</t>
  </si>
  <si>
    <t>Medium (5k-10k)</t>
  </si>
  <si>
    <t>Low (&lt;5k)</t>
  </si>
  <si>
    <t>High (&gt;10k)</t>
  </si>
  <si>
    <t>KPIs</t>
  </si>
  <si>
    <t>Overall (Annual Attrition)</t>
  </si>
  <si>
    <t>Experience (0-2 years Attrition)</t>
  </si>
  <si>
    <t>Department (Sales  Attrition %)</t>
  </si>
  <si>
    <t>Salary (Low Range (&lt;5k))</t>
  </si>
  <si>
    <t>Annual Attrition</t>
  </si>
  <si>
    <t>Row Labels</t>
  </si>
  <si>
    <t>Grand Total</t>
  </si>
  <si>
    <t>Sum of Attrition_Rate_Percent</t>
  </si>
  <si>
    <t>Sum of Attrition_Count</t>
  </si>
  <si>
    <t>Attrition Rate by Department</t>
  </si>
  <si>
    <t>Attriton by Experience</t>
  </si>
  <si>
    <t>Attrition Rate by Gender</t>
  </si>
  <si>
    <t>Attrtion Rate by Salary</t>
  </si>
  <si>
    <t>Count of Attrition_Count</t>
  </si>
  <si>
    <t>Sum of Left_Count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</si>
</sst>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0FFC3"/>
        <bgColor indexed="64"/>
      </patternFill>
    </fill>
  </fills>
  <borders count="1">
    <border>
      <left/>
      <right/>
      <top/>
      <bottom/>
      <diagonal/>
    </border>
  </borders>
  <cellStyleXfs count="1">
    <xf numFmtId="0" fontId="0" fillId="0" borderId="0"/>
  </cellStyleXfs>
  <cellXfs count="7">
    <xf numFmtId="0" fontId="0" fillId="0" borderId="0" xfId="0"/>
    <xf numFmtId="10"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0" xfId="0" applyNumberFormat="1"/>
  </cellXfs>
  <cellStyles count="1">
    <cellStyle name="Normal" xfId="0" builtinId="0"/>
  </cellStyles>
  <dxfs count="2">
    <dxf>
      <font>
        <b/>
        <i val="0"/>
        <color theme="0"/>
      </font>
    </dxf>
    <dxf>
      <fill>
        <patternFill>
          <bgColor rgb="FFFF5B5B"/>
        </patternFill>
      </fill>
    </dxf>
  </dxfs>
  <tableStyles count="1" defaultTableStyle="TableStyleMedium2" defaultPivotStyle="PivotStyleLight16">
    <tableStyle name="Slicer Style 1" pivot="0" table="0" count="6" xr9:uid="{7605FA91-675D-45D8-9063-A153866D5BD6}">
      <tableStyleElement type="wholeTable" dxfId="1"/>
      <tableStyleElement type="headerRow" dxfId="0"/>
    </tableStyle>
  </tableStyles>
  <colors>
    <mruColors>
      <color rgb="FFA09585"/>
      <color rgb="FFFF5B5B"/>
      <color rgb="FF9CCFFF"/>
      <color rgb="FF156082"/>
      <color rgb="FFF0FFC3"/>
      <color rgb="FF1700F2"/>
      <color rgb="FF006FAB"/>
      <color rgb="FF1C424C"/>
      <color rgb="FF377589"/>
      <color rgb="FF4796AF"/>
    </mruColors>
  </colors>
  <extLst>
    <ext xmlns:x14="http://schemas.microsoft.com/office/spreadsheetml/2009/9/main" uri="{46F421CA-312F-682f-3DD2-61675219B42D}">
      <x14:dxfs count="4">
        <dxf>
          <fill>
            <patternFill>
              <bgColor rgb="FF685AFF"/>
            </patternFill>
          </fill>
        </dxf>
        <dxf>
          <fill>
            <patternFill>
              <bgColor rgb="FFF0FFC3"/>
            </patternFill>
          </fill>
        </dxf>
        <dxf>
          <fill>
            <patternFill>
              <bgColor rgb="FF9CCFFF"/>
            </patternFill>
          </fill>
        </dxf>
        <dxf>
          <fill>
            <patternFill>
              <bgColor rgb="FFF0FFC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 by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 &amp; Charts'!$B$3</c:f>
              <c:strCache>
                <c:ptCount val="1"/>
                <c:pt idx="0">
                  <c:v>Sum of Attrition_Rate_Percent</c:v>
                </c:pt>
              </c:strCache>
            </c:strRef>
          </c:tx>
          <c:spPr>
            <a:solidFill>
              <a:schemeClr val="accent1"/>
            </a:solidFill>
            <a:ln>
              <a:noFill/>
            </a:ln>
            <a:effectLst/>
          </c:spPr>
          <c:invertIfNegative val="0"/>
          <c:cat>
            <c:strRef>
              <c:f>'Pivots &amp; Charts'!$A$4:$A$7</c:f>
              <c:strCache>
                <c:ptCount val="3"/>
                <c:pt idx="0">
                  <c:v>Human Resources</c:v>
                </c:pt>
                <c:pt idx="1">
                  <c:v>Research &amp; Development</c:v>
                </c:pt>
                <c:pt idx="2">
                  <c:v>Sales</c:v>
                </c:pt>
              </c:strCache>
            </c:strRef>
          </c:cat>
          <c:val>
            <c:numRef>
              <c:f>'Pivots &amp; Charts'!$B$4:$B$7</c:f>
              <c:numCache>
                <c:formatCode>General</c:formatCode>
                <c:ptCount val="3"/>
                <c:pt idx="0">
                  <c:v>19.05</c:v>
                </c:pt>
                <c:pt idx="1">
                  <c:v>13.84</c:v>
                </c:pt>
                <c:pt idx="2">
                  <c:v>20.63</c:v>
                </c:pt>
              </c:numCache>
            </c:numRef>
          </c:val>
          <c:extLst>
            <c:ext xmlns:c16="http://schemas.microsoft.com/office/drawing/2014/chart" uri="{C3380CC4-5D6E-409C-BE32-E72D297353CC}">
              <c16:uniqueId val="{00000000-942C-47BF-BE28-FC460A48955A}"/>
            </c:ext>
          </c:extLst>
        </c:ser>
        <c:ser>
          <c:idx val="1"/>
          <c:order val="1"/>
          <c:tx>
            <c:strRef>
              <c:f>'Pivots &amp; Charts'!$C$3</c:f>
              <c:strCache>
                <c:ptCount val="1"/>
                <c:pt idx="0">
                  <c:v>Count of Attrition_Count</c:v>
                </c:pt>
              </c:strCache>
            </c:strRef>
          </c:tx>
          <c:spPr>
            <a:solidFill>
              <a:schemeClr val="accent2"/>
            </a:solidFill>
            <a:ln>
              <a:noFill/>
            </a:ln>
            <a:effectLst/>
          </c:spPr>
          <c:invertIfNegative val="0"/>
          <c:cat>
            <c:strRef>
              <c:f>'Pivots &amp; Charts'!$A$4:$A$7</c:f>
              <c:strCache>
                <c:ptCount val="3"/>
                <c:pt idx="0">
                  <c:v>Human Resources</c:v>
                </c:pt>
                <c:pt idx="1">
                  <c:v>Research &amp; Development</c:v>
                </c:pt>
                <c:pt idx="2">
                  <c:v>Sales</c:v>
                </c:pt>
              </c:strCache>
            </c:strRef>
          </c:cat>
          <c:val>
            <c:numRef>
              <c:f>'Pivots &amp; Charts'!$C$4:$C$7</c:f>
              <c:numCache>
                <c:formatCode>General</c:formatCode>
                <c:ptCount val="3"/>
                <c:pt idx="0">
                  <c:v>1</c:v>
                </c:pt>
                <c:pt idx="1">
                  <c:v>1</c:v>
                </c:pt>
                <c:pt idx="2">
                  <c:v>1</c:v>
                </c:pt>
              </c:numCache>
            </c:numRef>
          </c:val>
          <c:extLst>
            <c:ext xmlns:c16="http://schemas.microsoft.com/office/drawing/2014/chart" uri="{C3380CC4-5D6E-409C-BE32-E72D297353CC}">
              <c16:uniqueId val="{00000001-942C-47BF-BE28-FC460A48955A}"/>
            </c:ext>
          </c:extLst>
        </c:ser>
        <c:dLbls>
          <c:showLegendKey val="0"/>
          <c:showVal val="0"/>
          <c:showCatName val="0"/>
          <c:showSerName val="0"/>
          <c:showPercent val="0"/>
          <c:showBubbleSize val="0"/>
        </c:dLbls>
        <c:gapWidth val="150"/>
        <c:overlap val="100"/>
        <c:axId val="214439072"/>
        <c:axId val="214433792"/>
      </c:barChart>
      <c:catAx>
        <c:axId val="2144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3792"/>
        <c:crosses val="autoZero"/>
        <c:auto val="1"/>
        <c:lblAlgn val="ctr"/>
        <c:lblOffset val="100"/>
        <c:noMultiLvlLbl val="0"/>
      </c:catAx>
      <c:valAx>
        <c:axId val="214433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'Pivots &amp; Charts'!$B$12</c:f>
              <c:strCache>
                <c:ptCount val="1"/>
                <c:pt idx="0">
                  <c:v>Sum of Attrition_Rate_Percent</c:v>
                </c:pt>
              </c:strCache>
            </c:strRef>
          </c:tx>
          <c:spPr>
            <a:solidFill>
              <a:schemeClr val="accent1"/>
            </a:solidFill>
            <a:ln>
              <a:noFill/>
            </a:ln>
            <a:effectLst/>
            <a:sp3d/>
          </c:spPr>
          <c:invertIfNegative val="0"/>
          <c:cat>
            <c:strRef>
              <c:f>'Pivots &amp; Charts'!$A$13:$A$17</c:f>
              <c:strCache>
                <c:ptCount val="4"/>
                <c:pt idx="0">
                  <c:v>0-2 Years</c:v>
                </c:pt>
                <c:pt idx="1">
                  <c:v>11+ Years</c:v>
                </c:pt>
                <c:pt idx="2">
                  <c:v>3-5 Years</c:v>
                </c:pt>
                <c:pt idx="3">
                  <c:v>6-10 Years</c:v>
                </c:pt>
              </c:strCache>
            </c:strRef>
          </c:cat>
          <c:val>
            <c:numRef>
              <c:f>'Pivots &amp; Charts'!$B$13:$B$17</c:f>
              <c:numCache>
                <c:formatCode>General</c:formatCode>
                <c:ptCount val="4"/>
                <c:pt idx="0">
                  <c:v>43.9</c:v>
                </c:pt>
                <c:pt idx="1">
                  <c:v>10.050000000000001</c:v>
                </c:pt>
                <c:pt idx="2">
                  <c:v>19.170000000000002</c:v>
                </c:pt>
                <c:pt idx="3">
                  <c:v>14.99</c:v>
                </c:pt>
              </c:numCache>
            </c:numRef>
          </c:val>
          <c:extLst>
            <c:ext xmlns:c16="http://schemas.microsoft.com/office/drawing/2014/chart" uri="{C3380CC4-5D6E-409C-BE32-E72D297353CC}">
              <c16:uniqueId val="{00000000-EEED-4376-B598-EA1FF75DA2B3}"/>
            </c:ext>
          </c:extLst>
        </c:ser>
        <c:ser>
          <c:idx val="1"/>
          <c:order val="1"/>
          <c:tx>
            <c:strRef>
              <c:f>'Pivots &amp; Charts'!$C$12</c:f>
              <c:strCache>
                <c:ptCount val="1"/>
                <c:pt idx="0">
                  <c:v>Sum of Attrition_Count</c:v>
                </c:pt>
              </c:strCache>
            </c:strRef>
          </c:tx>
          <c:spPr>
            <a:solidFill>
              <a:schemeClr val="accent2"/>
            </a:solidFill>
            <a:ln>
              <a:noFill/>
            </a:ln>
            <a:effectLst/>
            <a:sp3d/>
          </c:spPr>
          <c:invertIfNegative val="0"/>
          <c:cat>
            <c:strRef>
              <c:f>'Pivots &amp; Charts'!$A$13:$A$17</c:f>
              <c:strCache>
                <c:ptCount val="4"/>
                <c:pt idx="0">
                  <c:v>0-2 Years</c:v>
                </c:pt>
                <c:pt idx="1">
                  <c:v>11+ Years</c:v>
                </c:pt>
                <c:pt idx="2">
                  <c:v>3-5 Years</c:v>
                </c:pt>
                <c:pt idx="3">
                  <c:v>6-10 Years</c:v>
                </c:pt>
              </c:strCache>
            </c:strRef>
          </c:cat>
          <c:val>
            <c:numRef>
              <c:f>'Pivots &amp; Charts'!$C$13:$C$17</c:f>
              <c:numCache>
                <c:formatCode>General</c:formatCode>
                <c:ptCount val="4"/>
                <c:pt idx="0">
                  <c:v>54</c:v>
                </c:pt>
                <c:pt idx="1">
                  <c:v>55</c:v>
                </c:pt>
                <c:pt idx="2">
                  <c:v>37</c:v>
                </c:pt>
                <c:pt idx="3">
                  <c:v>91</c:v>
                </c:pt>
              </c:numCache>
            </c:numRef>
          </c:val>
          <c:extLst>
            <c:ext xmlns:c16="http://schemas.microsoft.com/office/drawing/2014/chart" uri="{C3380CC4-5D6E-409C-BE32-E72D297353CC}">
              <c16:uniqueId val="{00000002-EEED-4376-B598-EA1FF75DA2B3}"/>
            </c:ext>
          </c:extLst>
        </c:ser>
        <c:dLbls>
          <c:showLegendKey val="0"/>
          <c:showVal val="0"/>
          <c:showCatName val="0"/>
          <c:showSerName val="0"/>
          <c:showPercent val="0"/>
          <c:showBubbleSize val="0"/>
        </c:dLbls>
        <c:gapWidth val="150"/>
        <c:shape val="box"/>
        <c:axId val="2110402944"/>
        <c:axId val="2110400064"/>
        <c:axId val="0"/>
      </c:bar3DChart>
      <c:catAx>
        <c:axId val="211040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00064"/>
        <c:crosses val="autoZero"/>
        <c:auto val="1"/>
        <c:lblAlgn val="ctr"/>
        <c:lblOffset val="100"/>
        <c:noMultiLvlLbl val="0"/>
      </c:catAx>
      <c:valAx>
        <c:axId val="2110400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0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Attrtion Rate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Charts'!$B$30</c:f>
              <c:strCache>
                <c:ptCount val="1"/>
                <c:pt idx="0">
                  <c:v>Sum of Attrition_Rate_Percent</c:v>
                </c:pt>
              </c:strCache>
            </c:strRef>
          </c:tx>
          <c:spPr>
            <a:solidFill>
              <a:schemeClr val="accent1"/>
            </a:solidFill>
            <a:ln>
              <a:noFill/>
            </a:ln>
            <a:effectLst/>
          </c:spPr>
          <c:invertIfNegative val="0"/>
          <c:cat>
            <c:strRef>
              <c:f>'Pivots &amp; Charts'!$A$31:$A$34</c:f>
              <c:strCache>
                <c:ptCount val="3"/>
                <c:pt idx="0">
                  <c:v>High (&gt;10k)</c:v>
                </c:pt>
                <c:pt idx="1">
                  <c:v>Low (&lt;5k)</c:v>
                </c:pt>
                <c:pt idx="2">
                  <c:v>Medium (5k-10k)</c:v>
                </c:pt>
              </c:strCache>
            </c:strRef>
          </c:cat>
          <c:val>
            <c:numRef>
              <c:f>'Pivots &amp; Charts'!$B$31:$B$34</c:f>
              <c:numCache>
                <c:formatCode>General</c:formatCode>
                <c:ptCount val="3"/>
                <c:pt idx="0">
                  <c:v>8.9</c:v>
                </c:pt>
                <c:pt idx="1">
                  <c:v>21.76</c:v>
                </c:pt>
                <c:pt idx="2">
                  <c:v>11.14</c:v>
                </c:pt>
              </c:numCache>
            </c:numRef>
          </c:val>
          <c:extLst>
            <c:ext xmlns:c16="http://schemas.microsoft.com/office/drawing/2014/chart" uri="{C3380CC4-5D6E-409C-BE32-E72D297353CC}">
              <c16:uniqueId val="{00000000-7A18-4AE7-813B-C0B8E91EA7A5}"/>
            </c:ext>
          </c:extLst>
        </c:ser>
        <c:ser>
          <c:idx val="1"/>
          <c:order val="1"/>
          <c:tx>
            <c:strRef>
              <c:f>'Pivots &amp; Charts'!$C$30</c:f>
              <c:strCache>
                <c:ptCount val="1"/>
                <c:pt idx="0">
                  <c:v>Sum of Attrition_Count</c:v>
                </c:pt>
              </c:strCache>
            </c:strRef>
          </c:tx>
          <c:spPr>
            <a:solidFill>
              <a:schemeClr val="accent2"/>
            </a:solidFill>
            <a:ln>
              <a:noFill/>
            </a:ln>
            <a:effectLst/>
          </c:spPr>
          <c:invertIfNegative val="0"/>
          <c:cat>
            <c:strRef>
              <c:f>'Pivots &amp; Charts'!$A$31:$A$34</c:f>
              <c:strCache>
                <c:ptCount val="3"/>
                <c:pt idx="0">
                  <c:v>High (&gt;10k)</c:v>
                </c:pt>
                <c:pt idx="1">
                  <c:v>Low (&lt;5k)</c:v>
                </c:pt>
                <c:pt idx="2">
                  <c:v>Medium (5k-10k)</c:v>
                </c:pt>
              </c:strCache>
            </c:strRef>
          </c:cat>
          <c:val>
            <c:numRef>
              <c:f>'Pivots &amp; Charts'!$C$31:$C$34</c:f>
              <c:numCache>
                <c:formatCode>General</c:formatCode>
                <c:ptCount val="3"/>
                <c:pt idx="0">
                  <c:v>25</c:v>
                </c:pt>
                <c:pt idx="1">
                  <c:v>163</c:v>
                </c:pt>
                <c:pt idx="2">
                  <c:v>49</c:v>
                </c:pt>
              </c:numCache>
            </c:numRef>
          </c:val>
          <c:extLst>
            <c:ext xmlns:c16="http://schemas.microsoft.com/office/drawing/2014/chart" uri="{C3380CC4-5D6E-409C-BE32-E72D297353CC}">
              <c16:uniqueId val="{00000003-7A18-4AE7-813B-C0B8E91EA7A5}"/>
            </c:ext>
          </c:extLst>
        </c:ser>
        <c:dLbls>
          <c:showLegendKey val="0"/>
          <c:showVal val="0"/>
          <c:showCatName val="0"/>
          <c:showSerName val="0"/>
          <c:showPercent val="0"/>
          <c:showBubbleSize val="0"/>
        </c:dLbls>
        <c:gapWidth val="150"/>
        <c:axId val="752874912"/>
        <c:axId val="752884992"/>
      </c:barChart>
      <c:catAx>
        <c:axId val="752874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84992"/>
        <c:crosses val="autoZero"/>
        <c:auto val="1"/>
        <c:lblAlgn val="ctr"/>
        <c:lblOffset val="100"/>
        <c:noMultiLvlLbl val="0"/>
      </c:catAx>
      <c:valAx>
        <c:axId val="75288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&amp; Charts'!$B$22</c:f>
              <c:strCache>
                <c:ptCount val="1"/>
                <c:pt idx="0">
                  <c:v>Sum of Attrition_Rate_Percent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88-4D82-A4CD-C6C4D72AEB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88-4D82-A4CD-C6C4D72AEB9D}"/>
              </c:ext>
            </c:extLst>
          </c:dPt>
          <c:cat>
            <c:strRef>
              <c:f>'Pivots &amp; Charts'!$A$23:$A$25</c:f>
              <c:strCache>
                <c:ptCount val="2"/>
                <c:pt idx="0">
                  <c:v>Female</c:v>
                </c:pt>
                <c:pt idx="1">
                  <c:v>Male</c:v>
                </c:pt>
              </c:strCache>
            </c:strRef>
          </c:cat>
          <c:val>
            <c:numRef>
              <c:f>'Pivots &amp; Charts'!$B$23:$B$25</c:f>
              <c:numCache>
                <c:formatCode>General</c:formatCode>
                <c:ptCount val="2"/>
                <c:pt idx="0">
                  <c:v>14.8</c:v>
                </c:pt>
                <c:pt idx="1">
                  <c:v>17.010000000000002</c:v>
                </c:pt>
              </c:numCache>
            </c:numRef>
          </c:val>
          <c:extLst>
            <c:ext xmlns:c16="http://schemas.microsoft.com/office/drawing/2014/chart" uri="{C3380CC4-5D6E-409C-BE32-E72D297353CC}">
              <c16:uniqueId val="{00000000-A366-41A2-AA2B-6F78CF435E8F}"/>
            </c:ext>
          </c:extLst>
        </c:ser>
        <c:ser>
          <c:idx val="1"/>
          <c:order val="1"/>
          <c:tx>
            <c:strRef>
              <c:f>'Pivots &amp; Charts'!$C$22</c:f>
              <c:strCache>
                <c:ptCount val="1"/>
                <c:pt idx="0">
                  <c:v>Sum of Left_Count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88-4D82-A4CD-C6C4D72AEB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88-4D82-A4CD-C6C4D72AEB9D}"/>
              </c:ext>
            </c:extLst>
          </c:dPt>
          <c:cat>
            <c:strRef>
              <c:f>'Pivots &amp; Charts'!$A$23:$A$25</c:f>
              <c:strCache>
                <c:ptCount val="2"/>
                <c:pt idx="0">
                  <c:v>Female</c:v>
                </c:pt>
                <c:pt idx="1">
                  <c:v>Male</c:v>
                </c:pt>
              </c:strCache>
            </c:strRef>
          </c:cat>
          <c:val>
            <c:numRef>
              <c:f>'Pivots &amp; Charts'!$C$23:$C$25</c:f>
              <c:numCache>
                <c:formatCode>General</c:formatCode>
                <c:ptCount val="2"/>
                <c:pt idx="0">
                  <c:v>87</c:v>
                </c:pt>
                <c:pt idx="1">
                  <c:v>150</c:v>
                </c:pt>
              </c:numCache>
            </c:numRef>
          </c:val>
          <c:extLst>
            <c:ext xmlns:c16="http://schemas.microsoft.com/office/drawing/2014/chart" uri="{C3380CC4-5D6E-409C-BE32-E72D297353CC}">
              <c16:uniqueId val="{00000001-A366-41A2-AA2B-6F78CF435E8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b="1">
                <a:solidFill>
                  <a:srgbClr val="F0FFC3"/>
                </a:solidFill>
              </a:rPr>
              <a:t>ATTRITION RATE BY DEPARTMENT</a:t>
            </a:r>
          </a:p>
        </c:rich>
      </c:tx>
      <c:layout>
        <c:manualLayout>
          <c:xMode val="edge"/>
          <c:yMode val="edge"/>
          <c:x val="0.27022443302371635"/>
          <c:y val="0.13803880185079959"/>
        </c:manualLayout>
      </c:layout>
      <c:overlay val="0"/>
      <c:spPr>
        <a:solidFill>
          <a:srgbClr val="BF4646"/>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 &amp; Charts'!$B$3</c:f>
              <c:strCache>
                <c:ptCount val="1"/>
                <c:pt idx="0">
                  <c:v>Sum of Attrition_Rate_Percent</c:v>
                </c:pt>
              </c:strCache>
            </c:strRef>
          </c:tx>
          <c:spPr>
            <a:solidFill>
              <a:schemeClr val="accent1"/>
            </a:solidFill>
            <a:ln>
              <a:noFill/>
            </a:ln>
            <a:effectLst/>
          </c:spPr>
          <c:invertIfNegative val="0"/>
          <c:cat>
            <c:strRef>
              <c:f>'Pivots &amp; Charts'!$A$4:$A$7</c:f>
              <c:strCache>
                <c:ptCount val="3"/>
                <c:pt idx="0">
                  <c:v>Human Resources</c:v>
                </c:pt>
                <c:pt idx="1">
                  <c:v>Research &amp; Development</c:v>
                </c:pt>
                <c:pt idx="2">
                  <c:v>Sales</c:v>
                </c:pt>
              </c:strCache>
            </c:strRef>
          </c:cat>
          <c:val>
            <c:numRef>
              <c:f>'Pivots &amp; Charts'!$B$4:$B$7</c:f>
              <c:numCache>
                <c:formatCode>General</c:formatCode>
                <c:ptCount val="3"/>
                <c:pt idx="0">
                  <c:v>19.05</c:v>
                </c:pt>
                <c:pt idx="1">
                  <c:v>13.84</c:v>
                </c:pt>
                <c:pt idx="2">
                  <c:v>20.63</c:v>
                </c:pt>
              </c:numCache>
            </c:numRef>
          </c:val>
          <c:extLst>
            <c:ext xmlns:c16="http://schemas.microsoft.com/office/drawing/2014/chart" uri="{C3380CC4-5D6E-409C-BE32-E72D297353CC}">
              <c16:uniqueId val="{00000000-F5D3-4059-9079-6921DBAE8400}"/>
            </c:ext>
          </c:extLst>
        </c:ser>
        <c:ser>
          <c:idx val="1"/>
          <c:order val="1"/>
          <c:tx>
            <c:strRef>
              <c:f>'Pivots &amp; Charts'!$C$3</c:f>
              <c:strCache>
                <c:ptCount val="1"/>
                <c:pt idx="0">
                  <c:v>Count of Attrition_Count</c:v>
                </c:pt>
              </c:strCache>
            </c:strRef>
          </c:tx>
          <c:spPr>
            <a:solidFill>
              <a:schemeClr val="accent2"/>
            </a:solidFill>
            <a:ln>
              <a:noFill/>
            </a:ln>
            <a:effectLst/>
          </c:spPr>
          <c:invertIfNegative val="0"/>
          <c:cat>
            <c:strRef>
              <c:f>'Pivots &amp; Charts'!$A$4:$A$7</c:f>
              <c:strCache>
                <c:ptCount val="3"/>
                <c:pt idx="0">
                  <c:v>Human Resources</c:v>
                </c:pt>
                <c:pt idx="1">
                  <c:v>Research &amp; Development</c:v>
                </c:pt>
                <c:pt idx="2">
                  <c:v>Sales</c:v>
                </c:pt>
              </c:strCache>
            </c:strRef>
          </c:cat>
          <c:val>
            <c:numRef>
              <c:f>'Pivots &amp; Charts'!$C$4:$C$7</c:f>
              <c:numCache>
                <c:formatCode>General</c:formatCode>
                <c:ptCount val="3"/>
                <c:pt idx="0">
                  <c:v>1</c:v>
                </c:pt>
                <c:pt idx="1">
                  <c:v>1</c:v>
                </c:pt>
                <c:pt idx="2">
                  <c:v>1</c:v>
                </c:pt>
              </c:numCache>
            </c:numRef>
          </c:val>
          <c:extLst>
            <c:ext xmlns:c16="http://schemas.microsoft.com/office/drawing/2014/chart" uri="{C3380CC4-5D6E-409C-BE32-E72D297353CC}">
              <c16:uniqueId val="{00000001-F5D3-4059-9079-6921DBAE8400}"/>
            </c:ext>
          </c:extLst>
        </c:ser>
        <c:dLbls>
          <c:showLegendKey val="0"/>
          <c:showVal val="0"/>
          <c:showCatName val="0"/>
          <c:showSerName val="0"/>
          <c:showPercent val="0"/>
          <c:showBubbleSize val="0"/>
        </c:dLbls>
        <c:gapWidth val="150"/>
        <c:overlap val="100"/>
        <c:axId val="214439072"/>
        <c:axId val="214433792"/>
      </c:barChart>
      <c:catAx>
        <c:axId val="2144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433792"/>
        <c:crosses val="autoZero"/>
        <c:auto val="1"/>
        <c:lblAlgn val="ctr"/>
        <c:lblOffset val="100"/>
        <c:noMultiLvlLbl val="0"/>
      </c:catAx>
      <c:valAx>
        <c:axId val="214433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4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CCFFF"/>
    </a:solidFill>
    <a:ln w="9525" cap="flat" cmpd="sng" algn="ctr">
      <a:solidFill>
        <a:srgbClr val="1700F2"/>
      </a:solidFill>
      <a:round/>
    </a:ln>
    <a:effectLst>
      <a:glow rad="203200">
        <a:srgbClr val="9CCFFF">
          <a:alpha val="40000"/>
        </a:srgbClr>
      </a:glow>
      <a:outerShdw dist="76200" dir="8520000" sx="101000" sy="101000" algn="ctr" rotWithShape="0">
        <a:srgbClr val="1700F2">
          <a:alpha val="82000"/>
        </a:srgbClr>
      </a:outerShdw>
      <a:softEdge rad="12700"/>
    </a:effectLst>
    <a:scene3d>
      <a:camera prst="orthographicFront"/>
      <a:lightRig rig="threePt" dir="t"/>
    </a:scene3d>
    <a:sp3d prstMaterial="dkEdge">
      <a:bevelT w="31750" h="63500"/>
      <a:bevelB prst="angle"/>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Charts!PivotTable2</c:name>
    <c:fmtId val="4"/>
  </c:pivotSource>
  <c:chart>
    <c:title>
      <c:tx>
        <c:rich>
          <a:bodyPr rot="0" spcFirstLastPara="1" vertOverflow="ellipsis" vert="horz" wrap="square" anchor="ctr" anchorCtr="1"/>
          <a:lstStyle/>
          <a:p>
            <a:pPr>
              <a:defRPr sz="1400" b="0" i="0" u="none" strike="noStrike" kern="1200" spc="0" baseline="0">
                <a:solidFill>
                  <a:srgbClr val="FFF4EA"/>
                </a:solidFill>
                <a:latin typeface="+mn-lt"/>
                <a:ea typeface="+mn-ea"/>
                <a:cs typeface="+mn-cs"/>
              </a:defRPr>
            </a:pPr>
            <a:r>
              <a:rPr lang="en-US" b="1">
                <a:solidFill>
                  <a:srgbClr val="F0FFC3"/>
                </a:solidFill>
              </a:rPr>
              <a:t>ATTRITION BY EXPERIENCE</a:t>
            </a:r>
          </a:p>
        </c:rich>
      </c:tx>
      <c:overlay val="0"/>
      <c:spPr>
        <a:solidFill>
          <a:srgbClr val="BF4646"/>
        </a:solidFill>
        <a:ln>
          <a:noFill/>
        </a:ln>
        <a:effectLst/>
      </c:spPr>
      <c:txPr>
        <a:bodyPr rot="0" spcFirstLastPara="1" vertOverflow="ellipsis" vert="horz" wrap="square" anchor="ctr" anchorCtr="1"/>
        <a:lstStyle/>
        <a:p>
          <a:pPr>
            <a:defRPr sz="1400" b="0" i="0" u="none" strike="noStrike" kern="1200" spc="0" baseline="0">
              <a:solidFill>
                <a:srgbClr val="FFF4EA"/>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65D9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'Pivots &amp; Charts'!$B$12</c:f>
              <c:strCache>
                <c:ptCount val="1"/>
                <c:pt idx="0">
                  <c:v>Sum of Attrition_Rate_Percent</c:v>
                </c:pt>
              </c:strCache>
            </c:strRef>
          </c:tx>
          <c:spPr>
            <a:solidFill>
              <a:srgbClr val="265D9A"/>
            </a:solidFill>
            <a:ln>
              <a:noFill/>
            </a:ln>
            <a:effectLst/>
            <a:sp3d/>
          </c:spPr>
          <c:invertIfNegative val="0"/>
          <c:cat>
            <c:strRef>
              <c:f>'Pivots &amp; Charts'!$A$13:$A$17</c:f>
              <c:strCache>
                <c:ptCount val="4"/>
                <c:pt idx="0">
                  <c:v>0-2 Years</c:v>
                </c:pt>
                <c:pt idx="1">
                  <c:v>11+ Years</c:v>
                </c:pt>
                <c:pt idx="2">
                  <c:v>3-5 Years</c:v>
                </c:pt>
                <c:pt idx="3">
                  <c:v>6-10 Years</c:v>
                </c:pt>
              </c:strCache>
            </c:strRef>
          </c:cat>
          <c:val>
            <c:numRef>
              <c:f>'Pivots &amp; Charts'!$B$13:$B$17</c:f>
              <c:numCache>
                <c:formatCode>General</c:formatCode>
                <c:ptCount val="4"/>
                <c:pt idx="0">
                  <c:v>43.9</c:v>
                </c:pt>
                <c:pt idx="1">
                  <c:v>10.050000000000001</c:v>
                </c:pt>
                <c:pt idx="2">
                  <c:v>19.170000000000002</c:v>
                </c:pt>
                <c:pt idx="3">
                  <c:v>14.99</c:v>
                </c:pt>
              </c:numCache>
            </c:numRef>
          </c:val>
          <c:extLst>
            <c:ext xmlns:c16="http://schemas.microsoft.com/office/drawing/2014/chart" uri="{C3380CC4-5D6E-409C-BE32-E72D297353CC}">
              <c16:uniqueId val="{00000000-158C-45C3-A415-2DAC75144378}"/>
            </c:ext>
          </c:extLst>
        </c:ser>
        <c:ser>
          <c:idx val="1"/>
          <c:order val="1"/>
          <c:tx>
            <c:strRef>
              <c:f>'Pivots &amp; Charts'!$C$12</c:f>
              <c:strCache>
                <c:ptCount val="1"/>
                <c:pt idx="0">
                  <c:v>Sum of Attrition_Count</c:v>
                </c:pt>
              </c:strCache>
            </c:strRef>
          </c:tx>
          <c:spPr>
            <a:solidFill>
              <a:schemeClr val="accent2">
                <a:lumMod val="75000"/>
              </a:schemeClr>
            </a:solidFill>
            <a:ln>
              <a:noFill/>
            </a:ln>
            <a:effectLst/>
            <a:sp3d/>
          </c:spPr>
          <c:invertIfNegative val="0"/>
          <c:cat>
            <c:strRef>
              <c:f>'Pivots &amp; Charts'!$A$13:$A$17</c:f>
              <c:strCache>
                <c:ptCount val="4"/>
                <c:pt idx="0">
                  <c:v>0-2 Years</c:v>
                </c:pt>
                <c:pt idx="1">
                  <c:v>11+ Years</c:v>
                </c:pt>
                <c:pt idx="2">
                  <c:v>3-5 Years</c:v>
                </c:pt>
                <c:pt idx="3">
                  <c:v>6-10 Years</c:v>
                </c:pt>
              </c:strCache>
            </c:strRef>
          </c:cat>
          <c:val>
            <c:numRef>
              <c:f>'Pivots &amp; Charts'!$C$13:$C$17</c:f>
              <c:numCache>
                <c:formatCode>General</c:formatCode>
                <c:ptCount val="4"/>
                <c:pt idx="0">
                  <c:v>54</c:v>
                </c:pt>
                <c:pt idx="1">
                  <c:v>55</c:v>
                </c:pt>
                <c:pt idx="2">
                  <c:v>37</c:v>
                </c:pt>
                <c:pt idx="3">
                  <c:v>91</c:v>
                </c:pt>
              </c:numCache>
            </c:numRef>
          </c:val>
          <c:extLst>
            <c:ext xmlns:c16="http://schemas.microsoft.com/office/drawing/2014/chart" uri="{C3380CC4-5D6E-409C-BE32-E72D297353CC}">
              <c16:uniqueId val="{00000001-158C-45C3-A415-2DAC75144378}"/>
            </c:ext>
          </c:extLst>
        </c:ser>
        <c:dLbls>
          <c:showLegendKey val="0"/>
          <c:showVal val="0"/>
          <c:showCatName val="0"/>
          <c:showSerName val="0"/>
          <c:showPercent val="0"/>
          <c:showBubbleSize val="0"/>
        </c:dLbls>
        <c:gapWidth val="150"/>
        <c:shape val="box"/>
        <c:axId val="2110402944"/>
        <c:axId val="2110400064"/>
        <c:axId val="0"/>
      </c:bar3DChart>
      <c:catAx>
        <c:axId val="211040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00064"/>
        <c:crosses val="autoZero"/>
        <c:auto val="1"/>
        <c:lblAlgn val="ctr"/>
        <c:lblOffset val="100"/>
        <c:noMultiLvlLbl val="0"/>
      </c:catAx>
      <c:valAx>
        <c:axId val="2110400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0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CCFFF"/>
    </a:solidFill>
    <a:ln w="9525" cap="flat" cmpd="sng" algn="ctr">
      <a:solidFill>
        <a:srgbClr val="156082"/>
      </a:solidFill>
      <a:round/>
    </a:ln>
    <a:effectLst>
      <a:glow rad="127000">
        <a:srgbClr val="A09585">
          <a:alpha val="41961"/>
        </a:srgbClr>
      </a:glow>
      <a:outerShdw dist="114300" dir="8520000" sx="101000" sy="101000" algn="ctr" rotWithShape="0">
        <a:srgbClr val="FF5B5B">
          <a:alpha val="81961"/>
        </a:srgbClr>
      </a:outerShdw>
      <a:softEdge rad="355600"/>
    </a:effectLst>
    <a:scene3d>
      <a:camera prst="orthographicFront"/>
      <a:lightRig rig="threePt" dir="t"/>
    </a:scene3d>
    <a:sp3d>
      <a:bevelT w="31750" h="63500"/>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Charts!PivotTable3</c:name>
    <c:fmtId val="6"/>
  </c:pivotSource>
  <c:chart>
    <c:title>
      <c:tx>
        <c:rich>
          <a:bodyPr rot="0" spcFirstLastPara="1" vertOverflow="ellipsis" vert="horz" wrap="square" anchor="ctr" anchorCtr="1"/>
          <a:lstStyle/>
          <a:p>
            <a:pPr>
              <a:defRPr sz="1400" b="0" i="0" u="none" strike="noStrike" kern="1200" spc="0" baseline="0">
                <a:solidFill>
                  <a:srgbClr val="F0FFC3"/>
                </a:solidFill>
                <a:latin typeface="+mn-lt"/>
                <a:ea typeface="+mn-ea"/>
                <a:cs typeface="+mn-cs"/>
              </a:defRPr>
            </a:pPr>
            <a:r>
              <a:rPr lang="en-US" b="1">
                <a:solidFill>
                  <a:srgbClr val="F0FFC3"/>
                </a:solidFill>
              </a:rPr>
              <a:t>SUM</a:t>
            </a:r>
            <a:r>
              <a:rPr lang="en-US" b="1" baseline="0">
                <a:solidFill>
                  <a:srgbClr val="F0FFC3"/>
                </a:solidFill>
              </a:rPr>
              <a:t> OF ATTRITION RATE PERCENT</a:t>
            </a:r>
            <a:endParaRPr lang="en-US" b="1">
              <a:solidFill>
                <a:srgbClr val="F0FFC3"/>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rgbClr val="F0FFC3"/>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&amp; Charts'!$B$22</c:f>
              <c:strCache>
                <c:ptCount val="1"/>
                <c:pt idx="0">
                  <c:v>Sum of Attrition_Rate_Percent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64-46D9-82EA-2FD792FB63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64-46D9-82EA-2FD792FB63F0}"/>
              </c:ext>
            </c:extLst>
          </c:dPt>
          <c:cat>
            <c:strRef>
              <c:f>'Pivots &amp; Charts'!$A$23:$A$25</c:f>
              <c:strCache>
                <c:ptCount val="2"/>
                <c:pt idx="0">
                  <c:v>Female</c:v>
                </c:pt>
                <c:pt idx="1">
                  <c:v>Male</c:v>
                </c:pt>
              </c:strCache>
            </c:strRef>
          </c:cat>
          <c:val>
            <c:numRef>
              <c:f>'Pivots &amp; Charts'!$B$23:$B$25</c:f>
              <c:numCache>
                <c:formatCode>General</c:formatCode>
                <c:ptCount val="2"/>
                <c:pt idx="0">
                  <c:v>14.8</c:v>
                </c:pt>
                <c:pt idx="1">
                  <c:v>17.010000000000002</c:v>
                </c:pt>
              </c:numCache>
            </c:numRef>
          </c:val>
          <c:extLst>
            <c:ext xmlns:c16="http://schemas.microsoft.com/office/drawing/2014/chart" uri="{C3380CC4-5D6E-409C-BE32-E72D297353CC}">
              <c16:uniqueId val="{00000004-C364-46D9-82EA-2FD792FB63F0}"/>
            </c:ext>
          </c:extLst>
        </c:ser>
        <c:ser>
          <c:idx val="1"/>
          <c:order val="1"/>
          <c:tx>
            <c:strRef>
              <c:f>'Pivots &amp; Charts'!$C$22</c:f>
              <c:strCache>
                <c:ptCount val="1"/>
                <c:pt idx="0">
                  <c:v>Sum of Left_Count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C364-46D9-82EA-2FD792FB63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C364-46D9-82EA-2FD792FB63F0}"/>
              </c:ext>
            </c:extLst>
          </c:dPt>
          <c:cat>
            <c:strRef>
              <c:f>'Pivots &amp; Charts'!$A$23:$A$25</c:f>
              <c:strCache>
                <c:ptCount val="2"/>
                <c:pt idx="0">
                  <c:v>Female</c:v>
                </c:pt>
                <c:pt idx="1">
                  <c:v>Male</c:v>
                </c:pt>
              </c:strCache>
            </c:strRef>
          </c:cat>
          <c:val>
            <c:numRef>
              <c:f>'Pivots &amp; Charts'!$C$23:$C$25</c:f>
              <c:numCache>
                <c:formatCode>General</c:formatCode>
                <c:ptCount val="2"/>
                <c:pt idx="0">
                  <c:v>87</c:v>
                </c:pt>
                <c:pt idx="1">
                  <c:v>150</c:v>
                </c:pt>
              </c:numCache>
            </c:numRef>
          </c:val>
          <c:extLst>
            <c:ext xmlns:c16="http://schemas.microsoft.com/office/drawing/2014/chart" uri="{C3380CC4-5D6E-409C-BE32-E72D297353CC}">
              <c16:uniqueId val="{00000009-C364-46D9-82EA-2FD792FB63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CCFFF"/>
    </a:solidFill>
    <a:ln w="9525" cap="flat" cmpd="sng" algn="ctr">
      <a:solidFill>
        <a:srgbClr val="1700F2">
          <a:alpha val="96000"/>
        </a:srgbClr>
      </a:solidFill>
      <a:round/>
    </a:ln>
    <a:effectLst>
      <a:glow rad="203200">
        <a:srgbClr val="9CCFFF">
          <a:alpha val="40000"/>
        </a:srgbClr>
      </a:glow>
      <a:outerShdw dist="76200" dir="8520000" sx="101000" sy="101000" algn="ctr" rotWithShape="0">
        <a:srgbClr val="1700F2">
          <a:alpha val="82000"/>
        </a:srgbClr>
      </a:outerShdw>
      <a:softEdge rad="127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[IBM_Attrition.xlsx]Pivots &amp; Charts!PivotTable4</c:name>
    <c:fmtId val="10"/>
  </c:pivotSource>
  <c:chart>
    <c:title>
      <c:tx>
        <c:rich>
          <a:bodyPr rot="0" spcFirstLastPara="1" vertOverflow="ellipsis" vert="horz" wrap="square" anchor="ctr" anchorCtr="1"/>
          <a:lstStyle/>
          <a:p>
            <a:pPr>
              <a:defRPr sz="1400" b="0" i="0" u="none" strike="noStrike" kern="1200" spc="0" baseline="0">
                <a:solidFill>
                  <a:srgbClr val="F0FFC3"/>
                </a:solidFill>
                <a:latin typeface="+mn-lt"/>
                <a:ea typeface="+mn-ea"/>
                <a:cs typeface="+mn-cs"/>
              </a:defRPr>
            </a:pPr>
            <a:r>
              <a:rPr lang="en-GB" b="1">
                <a:solidFill>
                  <a:srgbClr val="F0FFC3"/>
                </a:solidFill>
              </a:rPr>
              <a:t>ATTRITION RATE</a:t>
            </a:r>
            <a:r>
              <a:rPr lang="en-GB" b="1" baseline="0">
                <a:solidFill>
                  <a:srgbClr val="F0FFC3"/>
                </a:solidFill>
              </a:rPr>
              <a:t> BY SALARY</a:t>
            </a:r>
            <a:endParaRPr lang="en-GB" b="1">
              <a:solidFill>
                <a:srgbClr val="F0FFC3"/>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rgbClr val="F0FFC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Charts'!$B$30</c:f>
              <c:strCache>
                <c:ptCount val="1"/>
                <c:pt idx="0">
                  <c:v>Sum of Attrition_Rate_Percent</c:v>
                </c:pt>
              </c:strCache>
            </c:strRef>
          </c:tx>
          <c:spPr>
            <a:solidFill>
              <a:schemeClr val="accent1"/>
            </a:solidFill>
            <a:ln>
              <a:noFill/>
            </a:ln>
            <a:effectLst/>
          </c:spPr>
          <c:invertIfNegative val="0"/>
          <c:cat>
            <c:strRef>
              <c:f>'Pivots &amp; Charts'!$A$31:$A$34</c:f>
              <c:strCache>
                <c:ptCount val="3"/>
                <c:pt idx="0">
                  <c:v>High (&gt;10k)</c:v>
                </c:pt>
                <c:pt idx="1">
                  <c:v>Low (&lt;5k)</c:v>
                </c:pt>
                <c:pt idx="2">
                  <c:v>Medium (5k-10k)</c:v>
                </c:pt>
              </c:strCache>
            </c:strRef>
          </c:cat>
          <c:val>
            <c:numRef>
              <c:f>'Pivots &amp; Charts'!$B$31:$B$34</c:f>
              <c:numCache>
                <c:formatCode>General</c:formatCode>
                <c:ptCount val="3"/>
                <c:pt idx="0">
                  <c:v>8.9</c:v>
                </c:pt>
                <c:pt idx="1">
                  <c:v>21.76</c:v>
                </c:pt>
                <c:pt idx="2">
                  <c:v>11.14</c:v>
                </c:pt>
              </c:numCache>
            </c:numRef>
          </c:val>
          <c:extLst>
            <c:ext xmlns:c16="http://schemas.microsoft.com/office/drawing/2014/chart" uri="{C3380CC4-5D6E-409C-BE32-E72D297353CC}">
              <c16:uniqueId val="{00000000-124D-40B6-9785-C737255F2F8B}"/>
            </c:ext>
          </c:extLst>
        </c:ser>
        <c:ser>
          <c:idx val="1"/>
          <c:order val="1"/>
          <c:tx>
            <c:strRef>
              <c:f>'Pivots &amp; Charts'!$C$30</c:f>
              <c:strCache>
                <c:ptCount val="1"/>
                <c:pt idx="0">
                  <c:v>Sum of Attrition_Count</c:v>
                </c:pt>
              </c:strCache>
            </c:strRef>
          </c:tx>
          <c:spPr>
            <a:solidFill>
              <a:schemeClr val="accent2"/>
            </a:solidFill>
            <a:ln>
              <a:noFill/>
            </a:ln>
            <a:effectLst/>
          </c:spPr>
          <c:invertIfNegative val="0"/>
          <c:cat>
            <c:strRef>
              <c:f>'Pivots &amp; Charts'!$A$31:$A$34</c:f>
              <c:strCache>
                <c:ptCount val="3"/>
                <c:pt idx="0">
                  <c:v>High (&gt;10k)</c:v>
                </c:pt>
                <c:pt idx="1">
                  <c:v>Low (&lt;5k)</c:v>
                </c:pt>
                <c:pt idx="2">
                  <c:v>Medium (5k-10k)</c:v>
                </c:pt>
              </c:strCache>
            </c:strRef>
          </c:cat>
          <c:val>
            <c:numRef>
              <c:f>'Pivots &amp; Charts'!$C$31:$C$34</c:f>
              <c:numCache>
                <c:formatCode>General</c:formatCode>
                <c:ptCount val="3"/>
                <c:pt idx="0">
                  <c:v>25</c:v>
                </c:pt>
                <c:pt idx="1">
                  <c:v>163</c:v>
                </c:pt>
                <c:pt idx="2">
                  <c:v>49</c:v>
                </c:pt>
              </c:numCache>
            </c:numRef>
          </c:val>
          <c:extLst>
            <c:ext xmlns:c16="http://schemas.microsoft.com/office/drawing/2014/chart" uri="{C3380CC4-5D6E-409C-BE32-E72D297353CC}">
              <c16:uniqueId val="{00000001-124D-40B6-9785-C737255F2F8B}"/>
            </c:ext>
          </c:extLst>
        </c:ser>
        <c:dLbls>
          <c:showLegendKey val="0"/>
          <c:showVal val="0"/>
          <c:showCatName val="0"/>
          <c:showSerName val="0"/>
          <c:showPercent val="0"/>
          <c:showBubbleSize val="0"/>
        </c:dLbls>
        <c:gapWidth val="150"/>
        <c:axId val="752874912"/>
        <c:axId val="752884992"/>
      </c:barChart>
      <c:catAx>
        <c:axId val="752874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84992"/>
        <c:crosses val="autoZero"/>
        <c:auto val="1"/>
        <c:lblAlgn val="ctr"/>
        <c:lblOffset val="100"/>
        <c:noMultiLvlLbl val="0"/>
      </c:catAx>
      <c:valAx>
        <c:axId val="75288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9CCFFF"/>
    </a:solidFill>
    <a:ln w="9525" cap="flat" cmpd="sng" algn="ctr">
      <a:solidFill>
        <a:srgbClr val="156082"/>
      </a:solidFill>
      <a:round/>
    </a:ln>
    <a:effectLst>
      <a:glow rad="127000">
        <a:srgbClr val="A09585">
          <a:alpha val="41961"/>
        </a:srgbClr>
      </a:glow>
      <a:outerShdw dist="114300" dir="8520000" sx="101000" sy="101000" algn="ctr" rotWithShape="0">
        <a:srgbClr val="FF5B5B">
          <a:alpha val="81961"/>
        </a:srgbClr>
      </a:outerShdw>
    </a:effectLst>
    <a:scene3d>
      <a:camera prst="orthographicFront"/>
      <a:lightRig rig="threePt" dir="t"/>
    </a:scene3d>
    <a:sp3d>
      <a:bevelT w="31750" h="63500"/>
      <a:bevelB w="698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482600</xdr:colOff>
      <xdr:row>0</xdr:row>
      <xdr:rowOff>107950</xdr:rowOff>
    </xdr:from>
    <xdr:to>
      <xdr:col>7</xdr:col>
      <xdr:colOff>6350</xdr:colOff>
      <xdr:row>10</xdr:row>
      <xdr:rowOff>12700</xdr:rowOff>
    </xdr:to>
    <xdr:graphicFrame macro="">
      <xdr:nvGraphicFramePr>
        <xdr:cNvPr id="2" name="Chart 1">
          <a:extLst>
            <a:ext uri="{FF2B5EF4-FFF2-40B4-BE49-F238E27FC236}">
              <a16:creationId xmlns:a16="http://schemas.microsoft.com/office/drawing/2014/main" id="{A23A78A1-2570-E835-D920-03B948E2B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457201</xdr:colOff>
      <xdr:row>10</xdr:row>
      <xdr:rowOff>76200</xdr:rowOff>
    </xdr:from>
    <xdr:to>
      <xdr:col>6</xdr:col>
      <xdr:colOff>565151</xdr:colOff>
      <xdr:row>21</xdr:row>
      <xdr:rowOff>107950</xdr:rowOff>
    </xdr:to>
    <xdr:graphicFrame macro="">
      <xdr:nvGraphicFramePr>
        <xdr:cNvPr id="3" name="Chart 2">
          <a:extLst>
            <a:ext uri="{FF2B5EF4-FFF2-40B4-BE49-F238E27FC236}">
              <a16:creationId xmlns:a16="http://schemas.microsoft.com/office/drawing/2014/main" id="{8BF71388-823C-89BA-88CD-B627F876B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1308100</xdr:colOff>
      <xdr:row>34</xdr:row>
      <xdr:rowOff>165100</xdr:rowOff>
    </xdr:from>
    <xdr:to>
      <xdr:col>8</xdr:col>
      <xdr:colOff>565150</xdr:colOff>
      <xdr:row>49</xdr:row>
      <xdr:rowOff>146050</xdr:rowOff>
    </xdr:to>
    <xdr:graphicFrame macro="">
      <xdr:nvGraphicFramePr>
        <xdr:cNvPr id="5" name="Chart 4">
          <a:extLst>
            <a:ext uri="{FF2B5EF4-FFF2-40B4-BE49-F238E27FC236}">
              <a16:creationId xmlns:a16="http://schemas.microsoft.com/office/drawing/2014/main" id="{4877F49B-E7C4-3836-3299-7486924A6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273050</xdr:colOff>
      <xdr:row>0</xdr:row>
      <xdr:rowOff>114300</xdr:rowOff>
    </xdr:from>
    <xdr:to>
      <xdr:col>10</xdr:col>
      <xdr:colOff>273050</xdr:colOff>
      <xdr:row>7</xdr:row>
      <xdr:rowOff>82550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34291B42-35AD-1C0A-4491-4F893111B11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10500" y="114300"/>
              <a:ext cx="182880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8</xdr:row>
      <xdr:rowOff>88900</xdr:rowOff>
    </xdr:from>
    <xdr:to>
      <xdr:col>10</xdr:col>
      <xdr:colOff>273050</xdr:colOff>
      <xdr:row>16</xdr:row>
      <xdr:rowOff>158750</xdr:rowOff>
    </xdr:to>
    <mc:AlternateContent xmlns:mc="http://schemas.openxmlformats.org/markup-compatibility/2006" xmlns:a14="http://schemas.microsoft.com/office/drawing/2010/main">
      <mc:Choice Requires="a14">
        <xdr:graphicFrame macro="">
          <xdr:nvGraphicFramePr>
            <xdr:cNvPr id="7" name="Experience_Bracket">
              <a:extLst>
                <a:ext uri="{FF2B5EF4-FFF2-40B4-BE49-F238E27FC236}">
                  <a16:creationId xmlns:a16="http://schemas.microsoft.com/office/drawing/2014/main" id="{B02D07BB-8833-2D84-C6D1-A14EEF6B0F86}"/>
                </a:ext>
              </a:extLst>
            </xdr:cNvPr>
            <xdr:cNvGraphicFramePr/>
          </xdr:nvGraphicFramePr>
          <xdr:xfrm>
            <a:off x="0" y="0"/>
            <a:ext cx="0" cy="0"/>
          </xdr:xfrm>
          <a:graphic>
            <a:graphicData uri="http://schemas.microsoft.com/office/drawing/2010/slicer">
              <sle:slicer xmlns:sle="http://schemas.microsoft.com/office/drawing/2010/slicer" name="Experience_Bracket"/>
            </a:graphicData>
          </a:graphic>
        </xdr:graphicFrame>
      </mc:Choice>
      <mc:Fallback xmlns="">
        <xdr:sp macro="" textlink="">
          <xdr:nvSpPr>
            <xdr:cNvPr id="0" name=""/>
            <xdr:cNvSpPr>
              <a:spLocks noTextEdit="1"/>
            </xdr:cNvSpPr>
          </xdr:nvSpPr>
          <xdr:spPr>
            <a:xfrm>
              <a:off x="7810500" y="1562100"/>
              <a:ext cx="1828800" cy="1543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317500</xdr:colOff>
      <xdr:row>17</xdr:row>
      <xdr:rowOff>82550</xdr:rowOff>
    </xdr:from>
    <xdr:to>
      <xdr:col>10</xdr:col>
      <xdr:colOff>317500</xdr:colOff>
      <xdr:row>23</xdr:row>
      <xdr:rowOff>88900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23534B3-6E8B-39AF-DA0F-CBEC61CA98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54950" y="3213100"/>
              <a:ext cx="1828800" cy="1111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584200</xdr:colOff>
      <xdr:row>26</xdr:row>
      <xdr:rowOff>95250</xdr:rowOff>
    </xdr:from>
    <xdr:to>
      <xdr:col>10</xdr:col>
      <xdr:colOff>584200</xdr:colOff>
      <xdr:row>33</xdr:row>
      <xdr:rowOff>82550</xdr:rowOff>
    </xdr:to>
    <mc:AlternateContent xmlns:mc="http://schemas.openxmlformats.org/markup-compatibility/2006" xmlns:a14="http://schemas.microsoft.com/office/drawing/2010/main">
      <mc:Choice Requires="a14">
        <xdr:graphicFrame macro="">
          <xdr:nvGraphicFramePr>
            <xdr:cNvPr id="9" name="Salary_Range">
              <a:extLst>
                <a:ext uri="{FF2B5EF4-FFF2-40B4-BE49-F238E27FC236}">
                  <a16:creationId xmlns:a16="http://schemas.microsoft.com/office/drawing/2014/main" id="{D98BB437-D7C1-562F-8104-FFABD010D600}"/>
                </a:ext>
              </a:extLst>
            </xdr:cNvPr>
            <xdr:cNvGraphicFramePr/>
          </xdr:nvGraphicFramePr>
          <xdr:xfrm>
            <a:off x="0" y="0"/>
            <a:ext cx="0" cy="0"/>
          </xdr:xfrm>
          <a:graphic>
            <a:graphicData uri="http://schemas.microsoft.com/office/drawing/2010/slicer">
              <sle:slicer xmlns:sle="http://schemas.microsoft.com/office/drawing/2010/slicer" name="Salary_Range"/>
            </a:graphicData>
          </a:graphic>
        </xdr:graphicFrame>
      </mc:Choice>
      <mc:Fallback xmlns="">
        <xdr:sp macro="" textlink="">
          <xdr:nvSpPr>
            <xdr:cNvPr id="0" name=""/>
            <xdr:cNvSpPr>
              <a:spLocks noTextEdit="1"/>
            </xdr:cNvSpPr>
          </xdr:nvSpPr>
          <xdr:spPr>
            <a:xfrm>
              <a:off x="8121650" y="4883150"/>
              <a:ext cx="1828800" cy="1282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250825</xdr:colOff>
      <xdr:row>22</xdr:row>
      <xdr:rowOff>50800</xdr:rowOff>
    </xdr:from>
    <xdr:to>
      <xdr:col>7</xdr:col>
      <xdr:colOff>304800</xdr:colOff>
      <xdr:row>35</xdr:row>
      <xdr:rowOff>152400</xdr:rowOff>
    </xdr:to>
    <xdr:graphicFrame macro="">
      <xdr:nvGraphicFramePr>
        <xdr:cNvPr id="10" name="Chart 9">
          <a:extLst>
            <a:ext uri="{FF2B5EF4-FFF2-40B4-BE49-F238E27FC236}">
              <a16:creationId xmlns:a16="http://schemas.microsoft.com/office/drawing/2014/main" id="{4110C001-FC2D-8E29-A617-9EE8697EF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0</xdr:row>
      <xdr:rowOff>22860</xdr:rowOff>
    </xdr:from>
    <xdr:to>
      <xdr:col>9</xdr:col>
      <xdr:colOff>297180</xdr:colOff>
      <xdr:row>7</xdr:row>
      <xdr:rowOff>0</xdr:rowOff>
    </xdr:to>
    <xdr:sp macro="" textlink="">
      <xdr:nvSpPr>
        <xdr:cNvPr id="13" name="Rectangle: Folded Corner 12">
          <a:extLst>
            <a:ext uri="{FF2B5EF4-FFF2-40B4-BE49-F238E27FC236}">
              <a16:creationId xmlns:a16="http://schemas.microsoft.com/office/drawing/2014/main" id="{912BE1A5-8C5D-4341-8EDB-78D6578ED1D2}"/>
            </a:ext>
          </a:extLst>
        </xdr:cNvPr>
        <xdr:cNvSpPr/>
      </xdr:nvSpPr>
      <xdr:spPr>
        <a:xfrm>
          <a:off x="3093720" y="22860"/>
          <a:ext cx="2621280" cy="1257300"/>
        </a:xfrm>
        <a:prstGeom prst="foldedCorner">
          <a:avLst/>
        </a:prstGeom>
        <a:solidFill>
          <a:srgbClr val="FF5B5B"/>
        </a:solidFill>
        <a:ln>
          <a:noFill/>
        </a:ln>
        <a:effectLst>
          <a:outerShdw blurRad="63500" dist="139700" dir="6000000" sx="120000" sy="120000" algn="ctr" rotWithShape="0">
            <a:srgbClr val="AA3D3D">
              <a:alpha val="70980"/>
            </a:srgb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1">
              <a:solidFill>
                <a:srgbClr val="FFF4EA"/>
              </a:solidFill>
              <a:latin typeface="Exotc350 Bd BT" panose="04030805050B02020A03" pitchFamily="82" charset="0"/>
            </a:rPr>
            <a:t>ANNUAL </a:t>
          </a:r>
        </a:p>
        <a:p>
          <a:pPr algn="ctr"/>
          <a:r>
            <a:rPr lang="en-GB" sz="1800" b="1" i="1">
              <a:solidFill>
                <a:srgbClr val="FFF4EA"/>
              </a:solidFill>
              <a:latin typeface="Exotc350 Bd BT" panose="04030805050B02020A03" pitchFamily="82" charset="0"/>
            </a:rPr>
            <a:t>ATTRITION</a:t>
          </a:r>
        </a:p>
      </xdr:txBody>
    </xdr:sp>
    <xdr:clientData/>
  </xdr:twoCellAnchor>
  <xdr:twoCellAnchor>
    <xdr:from>
      <xdr:col>0</xdr:col>
      <xdr:colOff>107950</xdr:colOff>
      <xdr:row>0</xdr:row>
      <xdr:rowOff>60960</xdr:rowOff>
    </xdr:from>
    <xdr:to>
      <xdr:col>4</xdr:col>
      <xdr:colOff>510540</xdr:colOff>
      <xdr:row>7</xdr:row>
      <xdr:rowOff>7620</xdr:rowOff>
    </xdr:to>
    <xdr:sp macro="" textlink="">
      <xdr:nvSpPr>
        <xdr:cNvPr id="14" name="Rectangle: Folded Corner 13">
          <a:extLst>
            <a:ext uri="{FF2B5EF4-FFF2-40B4-BE49-F238E27FC236}">
              <a16:creationId xmlns:a16="http://schemas.microsoft.com/office/drawing/2014/main" id="{732F554F-54E4-4495-A0DE-E07CF27D46BB}"/>
            </a:ext>
          </a:extLst>
        </xdr:cNvPr>
        <xdr:cNvSpPr/>
      </xdr:nvSpPr>
      <xdr:spPr>
        <a:xfrm>
          <a:off x="107950" y="60960"/>
          <a:ext cx="2810510" cy="1226820"/>
        </a:xfrm>
        <a:prstGeom prst="foldedCorner">
          <a:avLst>
            <a:gd name="adj" fmla="val 16667"/>
          </a:avLst>
        </a:prstGeom>
        <a:solidFill>
          <a:srgbClr val="685AFF"/>
        </a:solidFill>
        <a:ln>
          <a:noFill/>
        </a:ln>
        <a:effectLst>
          <a:glow rad="152400">
            <a:srgbClr val="A89FFF">
              <a:alpha val="40000"/>
            </a:srgbClr>
          </a:glow>
          <a:outerShdw dist="139700" dir="8400000" sx="116000" sy="116000" algn="ctr" rotWithShape="0">
            <a:srgbClr val="1400D2">
              <a:alpha val="69804"/>
            </a:srgb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2400" b="1" i="1" u="none">
            <a:solidFill>
              <a:srgbClr val="FFF4EA"/>
            </a:solidFill>
            <a:latin typeface="Exotc350 Bd BT" panose="04030805050B02020A03" pitchFamily="82"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800" b="1" i="1" u="sng">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800" b="1" i="1" u="sng">
              <a:solidFill>
                <a:schemeClr val="lt1"/>
              </a:solidFill>
              <a:effectLst/>
              <a:latin typeface="Exotc350 Bd BT" panose="04030805050B02020A03" pitchFamily="82" charset="0"/>
              <a:ea typeface="+mn-ea"/>
              <a:cs typeface="+mn-cs"/>
            </a:rPr>
            <a:t>ATTRITION</a:t>
          </a:r>
          <a:r>
            <a:rPr lang="en-GB" sz="1800" b="1" u="sng">
              <a:solidFill>
                <a:schemeClr val="lt1"/>
              </a:solidFill>
              <a:effectLst/>
              <a:latin typeface="Exotc350 Bd BT" panose="04030805050B02020A03" pitchFamily="82" charset="0"/>
              <a:ea typeface="+mn-ea"/>
              <a:cs typeface="+mn-cs"/>
            </a:rPr>
            <a:t> </a:t>
          </a:r>
          <a:r>
            <a:rPr lang="en-GB" sz="1800" b="1" i="1" u="sng">
              <a:solidFill>
                <a:schemeClr val="lt1"/>
              </a:solidFill>
              <a:effectLst/>
              <a:latin typeface="Exotc350 Bd BT" panose="04030805050B02020A03" pitchFamily="82" charset="0"/>
              <a:ea typeface="+mn-ea"/>
              <a:cs typeface="+mn-cs"/>
            </a:rPr>
            <a:t>INSIGHTS</a:t>
          </a:r>
          <a:endParaRPr lang="en-GB" sz="1800" b="1">
            <a:effectLst/>
            <a:latin typeface="Exotc350 Bd BT" panose="04030805050B02020A03" pitchFamily="82" charset="0"/>
          </a:endParaRPr>
        </a:p>
        <a:p>
          <a:pPr algn="ctr"/>
          <a:endParaRPr lang="en-GB" sz="2400" b="1" i="1" u="none">
            <a:solidFill>
              <a:srgbClr val="FFF4EA"/>
            </a:solidFill>
            <a:latin typeface="Exotc350 Bd BT" panose="04030805050B02020A03" pitchFamily="82" charset="0"/>
          </a:endParaRPr>
        </a:p>
      </xdr:txBody>
    </xdr:sp>
    <xdr:clientData/>
  </xdr:twoCellAnchor>
  <xdr:twoCellAnchor editAs="oneCell">
    <xdr:from>
      <xdr:col>1</xdr:col>
      <xdr:colOff>311149</xdr:colOff>
      <xdr:row>0</xdr:row>
      <xdr:rowOff>114301</xdr:rowOff>
    </xdr:from>
    <xdr:to>
      <xdr:col>3</xdr:col>
      <xdr:colOff>137160</xdr:colOff>
      <xdr:row>2</xdr:row>
      <xdr:rowOff>175261</xdr:rowOff>
    </xdr:to>
    <xdr:pic>
      <xdr:nvPicPr>
        <xdr:cNvPr id="17" name="Picture 16">
          <a:extLst>
            <a:ext uri="{FF2B5EF4-FFF2-40B4-BE49-F238E27FC236}">
              <a16:creationId xmlns:a16="http://schemas.microsoft.com/office/drawing/2014/main" id="{1161883D-EADC-2955-0209-1E1295999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129" y="114301"/>
          <a:ext cx="1029971" cy="426720"/>
        </a:xfrm>
        <a:prstGeom prst="rect">
          <a:avLst/>
        </a:prstGeom>
      </xdr:spPr>
    </xdr:pic>
    <xdr:clientData/>
  </xdr:twoCellAnchor>
  <xdr:twoCellAnchor editAs="oneCell">
    <xdr:from>
      <xdr:col>0</xdr:col>
      <xdr:colOff>55880</xdr:colOff>
      <xdr:row>8</xdr:row>
      <xdr:rowOff>1270</xdr:rowOff>
    </xdr:from>
    <xdr:to>
      <xdr:col>4</xdr:col>
      <xdr:colOff>320040</xdr:colOff>
      <xdr:row>15</xdr:row>
      <xdr:rowOff>177800</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80298A0A-80FF-467B-B462-0ED9BB88C71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5880" y="1464310"/>
              <a:ext cx="2672080" cy="14566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16</xdr:row>
      <xdr:rowOff>15240</xdr:rowOff>
    </xdr:from>
    <xdr:to>
      <xdr:col>4</xdr:col>
      <xdr:colOff>304800</xdr:colOff>
      <xdr:row>25</xdr:row>
      <xdr:rowOff>40640</xdr:rowOff>
    </xdr:to>
    <mc:AlternateContent xmlns:mc="http://schemas.openxmlformats.org/markup-compatibility/2006">
      <mc:Choice xmlns:a14="http://schemas.microsoft.com/office/drawing/2010/main" Requires="a14">
        <xdr:graphicFrame macro="">
          <xdr:nvGraphicFramePr>
            <xdr:cNvPr id="19" name="Experience_Bracket 1">
              <a:extLst>
                <a:ext uri="{FF2B5EF4-FFF2-40B4-BE49-F238E27FC236}">
                  <a16:creationId xmlns:a16="http://schemas.microsoft.com/office/drawing/2014/main" id="{383F70D9-E6A7-4606-B022-A401B8692E71}"/>
                </a:ext>
              </a:extLst>
            </xdr:cNvPr>
            <xdr:cNvGraphicFramePr/>
          </xdr:nvGraphicFramePr>
          <xdr:xfrm>
            <a:off x="0" y="0"/>
            <a:ext cx="0" cy="0"/>
          </xdr:xfrm>
          <a:graphic>
            <a:graphicData uri="http://schemas.microsoft.com/office/drawing/2010/slicer">
              <sle:slicer xmlns:sle="http://schemas.microsoft.com/office/drawing/2010/slicer" name="Experience_Bracket 1"/>
            </a:graphicData>
          </a:graphic>
        </xdr:graphicFrame>
      </mc:Choice>
      <mc:Fallback>
        <xdr:sp macro="" textlink="">
          <xdr:nvSpPr>
            <xdr:cNvPr id="0" name=""/>
            <xdr:cNvSpPr>
              <a:spLocks noTextEdit="1"/>
            </xdr:cNvSpPr>
          </xdr:nvSpPr>
          <xdr:spPr>
            <a:xfrm>
              <a:off x="69850" y="2941320"/>
              <a:ext cx="2642870" cy="1671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25</xdr:row>
      <xdr:rowOff>58420</xdr:rowOff>
    </xdr:from>
    <xdr:to>
      <xdr:col>4</xdr:col>
      <xdr:colOff>289560</xdr:colOff>
      <xdr:row>31</xdr:row>
      <xdr:rowOff>121920</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21DB7856-7051-4CEF-9122-4D67CE161B5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3500" y="4630420"/>
              <a:ext cx="2633980" cy="1160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502920</xdr:colOff>
      <xdr:row>8</xdr:row>
      <xdr:rowOff>91440</xdr:rowOff>
    </xdr:from>
    <xdr:to>
      <xdr:col>14</xdr:col>
      <xdr:colOff>76200</xdr:colOff>
      <xdr:row>22</xdr:row>
      <xdr:rowOff>160020</xdr:rowOff>
    </xdr:to>
    <xdr:graphicFrame macro="">
      <xdr:nvGraphicFramePr>
        <xdr:cNvPr id="21" name="Chart 20">
          <a:extLst>
            <a:ext uri="{FF2B5EF4-FFF2-40B4-BE49-F238E27FC236}">
              <a16:creationId xmlns:a16="http://schemas.microsoft.com/office/drawing/2014/main" id="{9B8EF011-956B-4D92-8BF7-786580203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327660</xdr:colOff>
      <xdr:row>8</xdr:row>
      <xdr:rowOff>68580</xdr:rowOff>
    </xdr:from>
    <xdr:to>
      <xdr:col>23</xdr:col>
      <xdr:colOff>281940</xdr:colOff>
      <xdr:row>22</xdr:row>
      <xdr:rowOff>114300</xdr:rowOff>
    </xdr:to>
    <xdr:graphicFrame macro="">
      <xdr:nvGraphicFramePr>
        <xdr:cNvPr id="22" name="Chart 21">
          <a:extLst>
            <a:ext uri="{FF2B5EF4-FFF2-40B4-BE49-F238E27FC236}">
              <a16:creationId xmlns:a16="http://schemas.microsoft.com/office/drawing/2014/main" id="{1B2EFE0B-65BE-472F-A2EC-BC69378FC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281940</xdr:colOff>
      <xdr:row>23</xdr:row>
      <xdr:rowOff>99060</xdr:rowOff>
    </xdr:from>
    <xdr:to>
      <xdr:col>23</xdr:col>
      <xdr:colOff>251460</xdr:colOff>
      <xdr:row>38</xdr:row>
      <xdr:rowOff>7620</xdr:rowOff>
    </xdr:to>
    <xdr:graphicFrame macro="">
      <xdr:nvGraphicFramePr>
        <xdr:cNvPr id="2" name="Chart 1">
          <a:extLst>
            <a:ext uri="{FF2B5EF4-FFF2-40B4-BE49-F238E27FC236}">
              <a16:creationId xmlns:a16="http://schemas.microsoft.com/office/drawing/2014/main" id="{2B6ADC02-0CFC-43BE-AED2-9232432E0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464820</xdr:colOff>
      <xdr:row>23</xdr:row>
      <xdr:rowOff>83820</xdr:rowOff>
    </xdr:from>
    <xdr:to>
      <xdr:col>14</xdr:col>
      <xdr:colOff>76200</xdr:colOff>
      <xdr:row>37</xdr:row>
      <xdr:rowOff>160020</xdr:rowOff>
    </xdr:to>
    <xdr:graphicFrame macro="">
      <xdr:nvGraphicFramePr>
        <xdr:cNvPr id="3" name="Chart 2">
          <a:extLst>
            <a:ext uri="{FF2B5EF4-FFF2-40B4-BE49-F238E27FC236}">
              <a16:creationId xmlns:a16="http://schemas.microsoft.com/office/drawing/2014/main" id="{FD920E36-4FAD-4E0B-AE2B-01AFEBCCD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332740</xdr:colOff>
      <xdr:row>0</xdr:row>
      <xdr:rowOff>15240</xdr:rowOff>
    </xdr:from>
    <xdr:to>
      <xdr:col>18</xdr:col>
      <xdr:colOff>419100</xdr:colOff>
      <xdr:row>7</xdr:row>
      <xdr:rowOff>38100</xdr:rowOff>
    </xdr:to>
    <xdr:sp macro="" textlink="">
      <xdr:nvSpPr>
        <xdr:cNvPr id="6" name="Rectangle: Folded Corner 5">
          <a:extLst>
            <a:ext uri="{FF2B5EF4-FFF2-40B4-BE49-F238E27FC236}">
              <a16:creationId xmlns:a16="http://schemas.microsoft.com/office/drawing/2014/main" id="{4DFB8762-38F6-4C12-9793-9C4D29018302}"/>
            </a:ext>
          </a:extLst>
        </xdr:cNvPr>
        <xdr:cNvSpPr/>
      </xdr:nvSpPr>
      <xdr:spPr>
        <a:xfrm>
          <a:off x="8760460" y="15240"/>
          <a:ext cx="2494280" cy="1303020"/>
        </a:xfrm>
        <a:prstGeom prst="foldedCorner">
          <a:avLst/>
        </a:prstGeom>
        <a:solidFill>
          <a:srgbClr val="FF5B5B"/>
        </a:solidFill>
        <a:ln>
          <a:noFill/>
        </a:ln>
        <a:effectLst>
          <a:outerShdw blurRad="63500" dist="139700" dir="6000000" sx="120000" sy="120000" algn="ctr" rotWithShape="0">
            <a:srgbClr val="AA3D3D">
              <a:alpha val="70980"/>
            </a:srgb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1">
              <a:solidFill>
                <a:srgbClr val="FFF4EA"/>
              </a:solidFill>
              <a:latin typeface="Exotc350 Bd BT" panose="04030805050B02020A03" pitchFamily="82" charset="0"/>
            </a:rPr>
            <a:t>ATTRITION BY</a:t>
          </a:r>
        </a:p>
        <a:p>
          <a:pPr algn="ctr"/>
          <a:r>
            <a:rPr lang="en-GB" sz="1800" b="1" i="1">
              <a:solidFill>
                <a:srgbClr val="FFF4EA"/>
              </a:solidFill>
              <a:latin typeface="Exotc350 Bd BT" panose="04030805050B02020A03" pitchFamily="82" charset="0"/>
            </a:rPr>
            <a:t>DEPARTMENT</a:t>
          </a:r>
        </a:p>
      </xdr:txBody>
    </xdr:sp>
    <xdr:clientData/>
  </xdr:twoCellAnchor>
  <xdr:twoCellAnchor>
    <xdr:from>
      <xdr:col>10</xdr:col>
      <xdr:colOff>106680</xdr:colOff>
      <xdr:row>0</xdr:row>
      <xdr:rowOff>60960</xdr:rowOff>
    </xdr:from>
    <xdr:to>
      <xdr:col>14</xdr:col>
      <xdr:colOff>7620</xdr:colOff>
      <xdr:row>6</xdr:row>
      <xdr:rowOff>144780</xdr:rowOff>
    </xdr:to>
    <xdr:sp macro="" textlink="">
      <xdr:nvSpPr>
        <xdr:cNvPr id="8" name="Rectangle: Folded Corner 7">
          <a:extLst>
            <a:ext uri="{FF2B5EF4-FFF2-40B4-BE49-F238E27FC236}">
              <a16:creationId xmlns:a16="http://schemas.microsoft.com/office/drawing/2014/main" id="{80DE1E8C-EF16-411B-B228-F10161F4FBD5}"/>
            </a:ext>
          </a:extLst>
        </xdr:cNvPr>
        <xdr:cNvSpPr/>
      </xdr:nvSpPr>
      <xdr:spPr>
        <a:xfrm>
          <a:off x="6126480" y="60960"/>
          <a:ext cx="2308860" cy="1181100"/>
        </a:xfrm>
        <a:prstGeom prst="foldedCorner">
          <a:avLst/>
        </a:prstGeom>
        <a:solidFill>
          <a:srgbClr val="685AFF"/>
        </a:solidFill>
        <a:ln>
          <a:noFill/>
        </a:ln>
        <a:effectLst>
          <a:glow rad="152400">
            <a:srgbClr val="A89FFF">
              <a:alpha val="40000"/>
            </a:srgbClr>
          </a:glow>
          <a:outerShdw dist="139700" dir="8400000" sx="116000" sy="116000" algn="ctr" rotWithShape="0">
            <a:srgbClr val="1400D2">
              <a:alpha val="69804"/>
            </a:srgb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b="1" i="1">
            <a:solidFill>
              <a:srgbClr val="FFF4EA"/>
            </a:solidFill>
            <a:latin typeface="Exotc350 Bd BT" panose="04030805050B02020A03" pitchFamily="82" charset="0"/>
          </a:endParaRPr>
        </a:p>
        <a:p>
          <a:pPr algn="ctr"/>
          <a:r>
            <a:rPr lang="en-GB" sz="1800" b="1" i="1">
              <a:solidFill>
                <a:srgbClr val="FFF4EA"/>
              </a:solidFill>
              <a:latin typeface="Exotc350 Bd BT" panose="04030805050B02020A03" pitchFamily="82" charset="0"/>
            </a:rPr>
            <a:t>ATTRITION</a:t>
          </a:r>
          <a:r>
            <a:rPr lang="en-GB" sz="1800" b="1">
              <a:solidFill>
                <a:srgbClr val="FFF4EA"/>
              </a:solidFill>
              <a:latin typeface="Exotc350 Bd BT" panose="04030805050B02020A03" pitchFamily="82" charset="0"/>
            </a:rPr>
            <a:t>  BY </a:t>
          </a:r>
          <a:r>
            <a:rPr lang="en-GB" sz="1800" b="1" i="1">
              <a:solidFill>
                <a:srgbClr val="FFF4EA"/>
              </a:solidFill>
              <a:latin typeface="Exotc350 Bd BT" panose="04030805050B02020A03" pitchFamily="82" charset="0"/>
            </a:rPr>
            <a:t>EXPERIENCE</a:t>
          </a:r>
        </a:p>
      </xdr:txBody>
    </xdr:sp>
    <xdr:clientData/>
  </xdr:twoCellAnchor>
  <xdr:twoCellAnchor>
    <xdr:from>
      <xdr:col>19</xdr:col>
      <xdr:colOff>320040</xdr:colOff>
      <xdr:row>0</xdr:row>
      <xdr:rowOff>91440</xdr:rowOff>
    </xdr:from>
    <xdr:to>
      <xdr:col>23</xdr:col>
      <xdr:colOff>213360</xdr:colOff>
      <xdr:row>7</xdr:row>
      <xdr:rowOff>7620</xdr:rowOff>
    </xdr:to>
    <xdr:sp macro="" textlink="">
      <xdr:nvSpPr>
        <xdr:cNvPr id="9" name="Rectangle: Folded Corner 8">
          <a:extLst>
            <a:ext uri="{FF2B5EF4-FFF2-40B4-BE49-F238E27FC236}">
              <a16:creationId xmlns:a16="http://schemas.microsoft.com/office/drawing/2014/main" id="{EC24D92E-A2D6-4917-B5B3-E9BAEDD55943}"/>
            </a:ext>
          </a:extLst>
        </xdr:cNvPr>
        <xdr:cNvSpPr/>
      </xdr:nvSpPr>
      <xdr:spPr>
        <a:xfrm>
          <a:off x="11757660" y="91440"/>
          <a:ext cx="2301240" cy="1196340"/>
        </a:xfrm>
        <a:prstGeom prst="foldedCorner">
          <a:avLst/>
        </a:prstGeom>
        <a:solidFill>
          <a:srgbClr val="685AFF"/>
        </a:solidFill>
        <a:ln>
          <a:noFill/>
        </a:ln>
        <a:effectLst>
          <a:glow rad="152400">
            <a:srgbClr val="A89FFF">
              <a:alpha val="40000"/>
            </a:srgbClr>
          </a:glow>
          <a:outerShdw dist="139700" dir="8400000" sx="116000" sy="116000" algn="ctr" rotWithShape="0">
            <a:srgbClr val="1400D2">
              <a:alpha val="69804"/>
            </a:srgb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b="1" i="1">
            <a:solidFill>
              <a:srgbClr val="FFF4EA"/>
            </a:solidFill>
            <a:latin typeface="Exotc350 Bd BT" panose="04030805050B02020A03" pitchFamily="82" charset="0"/>
          </a:endParaRPr>
        </a:p>
        <a:p>
          <a:pPr algn="ctr"/>
          <a:r>
            <a:rPr lang="en-GB" sz="1800" b="1" i="1">
              <a:solidFill>
                <a:srgbClr val="FFF4EA"/>
              </a:solidFill>
              <a:latin typeface="Exotc350 Bd BT" panose="04030805050B02020A03" pitchFamily="82" charset="0"/>
            </a:rPr>
            <a:t>ATTRITION  BY SALARY</a:t>
          </a:r>
        </a:p>
      </xdr:txBody>
    </xdr:sp>
    <xdr:clientData/>
  </xdr:twoCellAnchor>
  <xdr:twoCellAnchor editAs="oneCell">
    <xdr:from>
      <xdr:col>0</xdr:col>
      <xdr:colOff>60960</xdr:colOff>
      <xdr:row>31</xdr:row>
      <xdr:rowOff>129540</xdr:rowOff>
    </xdr:from>
    <xdr:to>
      <xdr:col>4</xdr:col>
      <xdr:colOff>274320</xdr:colOff>
      <xdr:row>38</xdr:row>
      <xdr:rowOff>124460</xdr:rowOff>
    </xdr:to>
    <mc:AlternateContent xmlns:mc="http://schemas.openxmlformats.org/markup-compatibility/2006">
      <mc:Choice xmlns:a14="http://schemas.microsoft.com/office/drawing/2010/main" Requires="a14">
        <xdr:graphicFrame macro="">
          <xdr:nvGraphicFramePr>
            <xdr:cNvPr id="5" name="Salary_Range 1">
              <a:extLst>
                <a:ext uri="{FF2B5EF4-FFF2-40B4-BE49-F238E27FC236}">
                  <a16:creationId xmlns:a16="http://schemas.microsoft.com/office/drawing/2014/main" id="{8CAFBC9F-79B4-4EFD-AD49-12F7A030F004}"/>
                </a:ext>
              </a:extLst>
            </xdr:cNvPr>
            <xdr:cNvGraphicFramePr/>
          </xdr:nvGraphicFramePr>
          <xdr:xfrm>
            <a:off x="0" y="0"/>
            <a:ext cx="0" cy="0"/>
          </xdr:xfrm>
          <a:graphic>
            <a:graphicData uri="http://schemas.microsoft.com/office/drawing/2010/slicer">
              <sle:slicer xmlns:sle="http://schemas.microsoft.com/office/drawing/2010/slicer" name="Salary_Range 1"/>
            </a:graphicData>
          </a:graphic>
        </xdr:graphicFrame>
      </mc:Choice>
      <mc:Fallback>
        <xdr:sp macro="" textlink="">
          <xdr:nvSpPr>
            <xdr:cNvPr id="0" name=""/>
            <xdr:cNvSpPr>
              <a:spLocks noTextEdit="1"/>
            </xdr:cNvSpPr>
          </xdr:nvSpPr>
          <xdr:spPr>
            <a:xfrm>
              <a:off x="60960" y="5798820"/>
              <a:ext cx="2621280" cy="1275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720332407407" createdVersion="8" refreshedVersion="8" minRefreshableVersion="3" recordCount="3" xr:uid="{535829B4-6E8E-4CE6-8FFB-A1F3777959D2}">
  <cacheSource type="worksheet">
    <worksheetSource ref="A1:D4" sheet="attrition_by_dept"/>
  </cacheSource>
  <cacheFields count="4">
    <cacheField name="Department" numFmtId="0">
      <sharedItems count="3">
        <s v="Sales"/>
        <s v="Research &amp; Development"/>
        <s v="Human Resources"/>
      </sharedItems>
    </cacheField>
    <cacheField name="Total_Employees" numFmtId="0">
      <sharedItems containsSemiMixedTypes="0" containsString="0" containsNumber="1" containsInteger="1" minValue="63" maxValue="961"/>
    </cacheField>
    <cacheField name="Attrition_Count" numFmtId="0">
      <sharedItems containsSemiMixedTypes="0" containsString="0" containsNumber="1" containsInteger="1" minValue="12" maxValue="133"/>
    </cacheField>
    <cacheField name="Attrition_Rate_Percent" numFmtId="0">
      <sharedItems containsSemiMixedTypes="0" containsString="0" containsNumber="1" minValue="13.84" maxValue="20.63"/>
    </cacheField>
  </cacheFields>
  <extLst>
    <ext xmlns:x14="http://schemas.microsoft.com/office/spreadsheetml/2009/9/main" uri="{725AE2AE-9491-48be-B2B4-4EB974FC3084}">
      <x14:pivotCacheDefinition pivotCacheId="13498333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721385879631" createdVersion="8" refreshedVersion="8" minRefreshableVersion="3" recordCount="4" xr:uid="{DD3ED328-4B54-470A-B2B2-1793CB51638A}">
  <cacheSource type="worksheet">
    <worksheetSource ref="A1:D5" sheet="attrition_by_experience"/>
  </cacheSource>
  <cacheFields count="4">
    <cacheField name="Experience_Bracket" numFmtId="0">
      <sharedItems count="4">
        <s v="6-10 Years"/>
        <s v="11+ Years"/>
        <s v="0-2 Years"/>
        <s v="3-5 Years"/>
      </sharedItems>
    </cacheField>
    <cacheField name="Total_Employees" numFmtId="0">
      <sharedItems containsSemiMixedTypes="0" containsString="0" containsNumber="1" containsInteger="1" minValue="123" maxValue="607"/>
    </cacheField>
    <cacheField name="Attrition_Count" numFmtId="0">
      <sharedItems containsSemiMixedTypes="0" containsString="0" containsNumber="1" containsInteger="1" minValue="37" maxValue="91"/>
    </cacheField>
    <cacheField name="Attrition_Rate_Percent" numFmtId="0">
      <sharedItems containsSemiMixedTypes="0" containsString="0" containsNumber="1" minValue="10.050000000000001" maxValue="43.9"/>
    </cacheField>
  </cacheFields>
  <extLst>
    <ext xmlns:x14="http://schemas.microsoft.com/office/spreadsheetml/2009/9/main" uri="{725AE2AE-9491-48be-B2B4-4EB974FC3084}">
      <x14:pivotCacheDefinition pivotCacheId="2768150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721988888887" createdVersion="8" refreshedVersion="8" minRefreshableVersion="3" recordCount="2" xr:uid="{C76408B1-0F65-4D03-9B03-86CF1F84DE14}">
  <cacheSource type="worksheet">
    <worksheetSource ref="A1:D3" sheet="attrition_by_gender"/>
  </cacheSource>
  <cacheFields count="4">
    <cacheField name="Gender" numFmtId="0">
      <sharedItems count="2">
        <s v="Female"/>
        <s v="Male"/>
      </sharedItems>
    </cacheField>
    <cacheField name="Total_Employees" numFmtId="0">
      <sharedItems containsSemiMixedTypes="0" containsString="0" containsNumber="1" containsInteger="1" minValue="588" maxValue="882"/>
    </cacheField>
    <cacheField name="Left_Count" numFmtId="0">
      <sharedItems containsSemiMixedTypes="0" containsString="0" containsNumber="1" containsInteger="1" minValue="87" maxValue="150"/>
    </cacheField>
    <cacheField name="Attrition_Rate_Percent" numFmtId="0">
      <sharedItems containsSemiMixedTypes="0" containsString="0" containsNumber="1" minValue="14.8" maxValue="17.010000000000002"/>
    </cacheField>
  </cacheFields>
  <extLst>
    <ext xmlns:x14="http://schemas.microsoft.com/office/spreadsheetml/2009/9/main" uri="{725AE2AE-9491-48be-B2B4-4EB974FC3084}">
      <x14:pivotCacheDefinition pivotCacheId="11680660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722393171294" createdVersion="8" refreshedVersion="8" minRefreshableVersion="3" recordCount="3" xr:uid="{9DD1C395-C511-4044-BA0A-E094ABD80442}">
  <cacheSource type="worksheet">
    <worksheetSource ref="A1:D4" sheet="attrition_by_salary"/>
  </cacheSource>
  <cacheFields count="4">
    <cacheField name="Salary_Range" numFmtId="0">
      <sharedItems count="3">
        <s v="Medium (5k-10k)"/>
        <s v="Low (&lt;5k)"/>
        <s v="High (&gt;10k)"/>
      </sharedItems>
    </cacheField>
    <cacheField name="Total_Employees" numFmtId="0">
      <sharedItems containsSemiMixedTypes="0" containsString="0" containsNumber="1" containsInteger="1" minValue="281" maxValue="749"/>
    </cacheField>
    <cacheField name="Attrition_Count" numFmtId="0">
      <sharedItems containsSemiMixedTypes="0" containsString="0" containsNumber="1" containsInteger="1" minValue="25" maxValue="163"/>
    </cacheField>
    <cacheField name="Attrition_Rate_Percent" numFmtId="0">
      <sharedItems containsSemiMixedTypes="0" containsString="0" containsNumber="1" minValue="8.9" maxValue="21.76"/>
    </cacheField>
  </cacheFields>
  <extLst>
    <ext xmlns:x14="http://schemas.microsoft.com/office/spreadsheetml/2009/9/main" uri="{725AE2AE-9491-48be-B2B4-4EB974FC3084}">
      <x14:pivotCacheDefinition pivotCacheId="593074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446"/>
    <n v="92"/>
    <n v="20.63"/>
  </r>
  <r>
    <x v="1"/>
    <n v="961"/>
    <n v="133"/>
    <n v="13.84"/>
  </r>
  <r>
    <x v="2"/>
    <n v="63"/>
    <n v="12"/>
    <n v="19.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607"/>
    <n v="91"/>
    <n v="14.99"/>
  </r>
  <r>
    <x v="1"/>
    <n v="547"/>
    <n v="55"/>
    <n v="10.050000000000001"/>
  </r>
  <r>
    <x v="2"/>
    <n v="123"/>
    <n v="54"/>
    <n v="43.9"/>
  </r>
  <r>
    <x v="3"/>
    <n v="193"/>
    <n v="37"/>
    <n v="19.1700000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588"/>
    <n v="87"/>
    <n v="14.8"/>
  </r>
  <r>
    <x v="1"/>
    <n v="882"/>
    <n v="150"/>
    <n v="17.010000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440"/>
    <n v="49"/>
    <n v="11.14"/>
  </r>
  <r>
    <x v="1"/>
    <n v="749"/>
    <n v="163"/>
    <n v="21.76"/>
  </r>
  <r>
    <x v="2"/>
    <n v="281"/>
    <n v="25"/>
    <n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E7917-464B-446B-A52C-709F7D5CCE4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C25" firstHeaderRow="0" firstDataRow="1" firstDataCol="1"/>
  <pivotFields count="4">
    <pivotField axis="axisRow" showAll="0">
      <items count="3">
        <item x="0"/>
        <item x="1"/>
        <item t="default"/>
      </items>
    </pivotField>
    <pivotField showAll="0"/>
    <pivotField dataField="1" showAll="0"/>
    <pivotField dataField="1" showAll="0"/>
  </pivotFields>
  <rowFields count="1">
    <field x="0"/>
  </rowFields>
  <rowItems count="3">
    <i>
      <x/>
    </i>
    <i>
      <x v="1"/>
    </i>
    <i t="grand">
      <x/>
    </i>
  </rowItems>
  <colFields count="1">
    <field x="-2"/>
  </colFields>
  <colItems count="2">
    <i>
      <x/>
    </i>
    <i i="1">
      <x v="1"/>
    </i>
  </colItems>
  <dataFields count="2">
    <dataField name="Sum of Attrition_Rate_Percent" fld="3" baseField="0" baseItem="0"/>
    <dataField name="Sum of Left_Count" fld="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1"/>
          </reference>
          <reference field="0" count="1" selected="0">
            <x v="0"/>
          </reference>
        </references>
      </pivotArea>
    </chartFormat>
    <chartFormat chart="3" format="5">
      <pivotArea type="data" outline="0" fieldPosition="0">
        <references count="2">
          <reference field="4294967294" count="1" selected="0">
            <x v="1"/>
          </reference>
          <reference field="0"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0" count="1" selected="0">
            <x v="0"/>
          </reference>
        </references>
      </pivotArea>
    </chartFormat>
    <chartFormat chart="6" format="17">
      <pivotArea type="data" outline="0" fieldPosition="0">
        <references count="2">
          <reference field="4294967294" count="1" selected="0">
            <x v="1"/>
          </reference>
          <reference field="0"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BEA1D-715E-4820-911A-9B63B5E1AB3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C17" firstHeaderRow="0" firstDataRow="1" firstDataCol="1"/>
  <pivotFields count="4">
    <pivotField axis="axisRow" showAll="0">
      <items count="5">
        <item x="2"/>
        <item x="1"/>
        <item x="3"/>
        <item x="0"/>
        <item t="default"/>
      </items>
    </pivotField>
    <pivotField showAll="0"/>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Attrition_Rate_Percent" fld="3" baseField="0" baseItem="0"/>
    <dataField name="Sum of Attrition_Coun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129AC-3FE8-4924-811E-828E03AB92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4">
    <pivotField axis="axisRow" showAll="0">
      <items count="4">
        <item x="2"/>
        <item x="1"/>
        <item x="0"/>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Attrition_Rate_Percent" fld="3" baseField="0" baseItem="0"/>
    <dataField name="Count of Attrition_Count"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65AA35-8345-44AE-8944-C71FB2550F5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C34" firstHeaderRow="0" firstDataRow="1" firstDataCol="1"/>
  <pivotFields count="4">
    <pivotField axis="axisRow" showAll="0">
      <items count="4">
        <item x="2"/>
        <item x="1"/>
        <item x="0"/>
        <item t="default"/>
      </items>
    </pivotField>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Attrition_Rate_Percent" fld="3" baseField="0" baseItem="0"/>
    <dataField name="Sum of Attrition_Count" fld="2"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2C1FBC-8176-45F5-A3B7-D60FBBE25C29}" sourceName="Department">
  <pivotTables>
    <pivotTable tabId="6" name="PivotTable1"/>
  </pivotTables>
  <data>
    <tabular pivotCacheId="13498333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Bracket" xr10:uid="{B5055784-7482-4B16-953F-5477365A0248}" sourceName="Experience_Bracket">
  <pivotTables>
    <pivotTable tabId="6" name="PivotTable2"/>
  </pivotTables>
  <data>
    <tabular pivotCacheId="27681505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DECA5A-CA6D-4141-8609-71FFD8166076}" sourceName="Gender">
  <pivotTables>
    <pivotTable tabId="6" name="PivotTable3"/>
  </pivotTables>
  <data>
    <tabular pivotCacheId="116806608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29A29BC3-FBC6-4563-B5DA-1F77E051E04C}" sourceName="Salary_Range">
  <pivotTables>
    <pivotTable tabId="6" name="PivotTable4"/>
  </pivotTables>
  <data>
    <tabular pivotCacheId="59307416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47F5521-F445-47B1-B0BB-E58E4399CBCD}" cache="Slicer_Department" caption="Department" rowHeight="251883"/>
  <slicer name="Experience_Bracket" xr10:uid="{92EAA345-1B08-41B8-BB99-76E4B945588A}" cache="Slicer_Experience_Bracket" caption="Experience_Bracket" rowHeight="251883"/>
  <slicer name="Gender" xr10:uid="{AF221BAF-ACEC-4346-AEF9-1F0BDF610B92}" cache="Slicer_Gender" caption="Gender" rowHeight="251883"/>
  <slicer name="Salary_Range" xr10:uid="{0D0EB94A-490B-4AC1-A9FE-72620822F53F}" cache="Slicer_Salary_Range" caption="Salary_Rang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6DA1D3E-4B80-4A66-805F-AEBF5E57EAEF}" cache="Slicer_Department" caption="Department" style="Slicer Style 1" rowHeight="251883"/>
  <slicer name="Experience_Bracket 1" xr10:uid="{FD42CDB0-89F3-4CBB-97C6-EEEBC42B055D}" cache="Slicer_Experience_Bracket" caption="Experience_Bracket" style="Slicer Style 1" rowHeight="251883"/>
  <slicer name="Gender 1" xr10:uid="{10A5D995-DF77-4714-BC68-24A5BBD9791A}" cache="Slicer_Gender" caption="Gender" style="Slicer Style 1" rowHeight="251883"/>
  <slicer name="Salary_Range 1" xr10:uid="{F524448C-123D-4861-9A67-B16EC72718D0}" cache="Slicer_Salary_Range" caption="Salary_Range"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4F28-EF04-4B71-A557-6ED681003B12}">
  <dimension ref="A2:C34"/>
  <sheetViews>
    <sheetView topLeftCell="A14" workbookViewId="0">
      <selection activeCell="B22" sqref="B22"/>
    </sheetView>
  </sheetViews>
  <sheetFormatPr defaultRowHeight="14.4" x14ac:dyDescent="0.3"/>
  <cols>
    <col min="1" max="1" width="14.44140625" bestFit="1" customWidth="1"/>
    <col min="2" max="2" width="26.109375" bestFit="1" customWidth="1"/>
    <col min="3" max="3" width="19.77734375" bestFit="1" customWidth="1"/>
    <col min="4" max="4" width="21.21875" bestFit="1" customWidth="1"/>
  </cols>
  <sheetData>
    <row r="2" spans="1:3" x14ac:dyDescent="0.3">
      <c r="A2" t="s">
        <v>30</v>
      </c>
    </row>
    <row r="3" spans="1:3" x14ac:dyDescent="0.3">
      <c r="A3" s="3" t="s">
        <v>26</v>
      </c>
      <c r="B3" t="s">
        <v>28</v>
      </c>
      <c r="C3" t="s">
        <v>34</v>
      </c>
    </row>
    <row r="4" spans="1:3" x14ac:dyDescent="0.3">
      <c r="A4" s="4" t="s">
        <v>6</v>
      </c>
      <c r="B4" s="6">
        <v>19.05</v>
      </c>
      <c r="C4" s="6">
        <v>1</v>
      </c>
    </row>
    <row r="5" spans="1:3" x14ac:dyDescent="0.3">
      <c r="A5" s="4" t="s">
        <v>5</v>
      </c>
      <c r="B5" s="6">
        <v>13.84</v>
      </c>
      <c r="C5" s="6">
        <v>1</v>
      </c>
    </row>
    <row r="6" spans="1:3" x14ac:dyDescent="0.3">
      <c r="A6" s="4" t="s">
        <v>4</v>
      </c>
      <c r="B6" s="6">
        <v>20.63</v>
      </c>
      <c r="C6" s="6">
        <v>1</v>
      </c>
    </row>
    <row r="7" spans="1:3" x14ac:dyDescent="0.3">
      <c r="A7" s="4" t="s">
        <v>27</v>
      </c>
      <c r="B7" s="6">
        <v>53.519999999999996</v>
      </c>
      <c r="C7" s="6">
        <v>3</v>
      </c>
    </row>
    <row r="11" spans="1:3" x14ac:dyDescent="0.3">
      <c r="A11" t="s">
        <v>31</v>
      </c>
    </row>
    <row r="12" spans="1:3" x14ac:dyDescent="0.3">
      <c r="A12" s="3" t="s">
        <v>26</v>
      </c>
      <c r="B12" t="s">
        <v>28</v>
      </c>
      <c r="C12" t="s">
        <v>29</v>
      </c>
    </row>
    <row r="13" spans="1:3" x14ac:dyDescent="0.3">
      <c r="A13" s="4" t="s">
        <v>10</v>
      </c>
      <c r="B13" s="6">
        <v>43.9</v>
      </c>
      <c r="C13" s="6">
        <v>54</v>
      </c>
    </row>
    <row r="14" spans="1:3" x14ac:dyDescent="0.3">
      <c r="A14" s="4" t="s">
        <v>9</v>
      </c>
      <c r="B14" s="6">
        <v>10.050000000000001</v>
      </c>
      <c r="C14" s="6">
        <v>55</v>
      </c>
    </row>
    <row r="15" spans="1:3" x14ac:dyDescent="0.3">
      <c r="A15" s="4" t="s">
        <v>11</v>
      </c>
      <c r="B15" s="6">
        <v>19.170000000000002</v>
      </c>
      <c r="C15" s="6">
        <v>37</v>
      </c>
    </row>
    <row r="16" spans="1:3" x14ac:dyDescent="0.3">
      <c r="A16" s="4" t="s">
        <v>8</v>
      </c>
      <c r="B16" s="6">
        <v>14.99</v>
      </c>
      <c r="C16" s="6">
        <v>91</v>
      </c>
    </row>
    <row r="17" spans="1:3" x14ac:dyDescent="0.3">
      <c r="A17" s="4" t="s">
        <v>27</v>
      </c>
      <c r="B17" s="6">
        <v>88.11</v>
      </c>
      <c r="C17" s="6">
        <v>237</v>
      </c>
    </row>
    <row r="21" spans="1:3" x14ac:dyDescent="0.3">
      <c r="A21" t="s">
        <v>32</v>
      </c>
    </row>
    <row r="22" spans="1:3" x14ac:dyDescent="0.3">
      <c r="A22" s="3" t="s">
        <v>26</v>
      </c>
      <c r="B22" t="s">
        <v>28</v>
      </c>
      <c r="C22" t="s">
        <v>35</v>
      </c>
    </row>
    <row r="23" spans="1:3" x14ac:dyDescent="0.3">
      <c r="A23" s="4" t="s">
        <v>14</v>
      </c>
      <c r="B23" s="6">
        <v>14.8</v>
      </c>
      <c r="C23" s="6">
        <v>87</v>
      </c>
    </row>
    <row r="24" spans="1:3" x14ac:dyDescent="0.3">
      <c r="A24" s="4" t="s">
        <v>15</v>
      </c>
      <c r="B24" s="6">
        <v>17.010000000000002</v>
      </c>
      <c r="C24" s="6">
        <v>150</v>
      </c>
    </row>
    <row r="25" spans="1:3" x14ac:dyDescent="0.3">
      <c r="A25" s="4" t="s">
        <v>27</v>
      </c>
      <c r="B25" s="6">
        <v>31.810000000000002</v>
      </c>
      <c r="C25" s="6">
        <v>237</v>
      </c>
    </row>
    <row r="28" spans="1:3" ht="15" customHeight="1" x14ac:dyDescent="0.3"/>
    <row r="29" spans="1:3" x14ac:dyDescent="0.3">
      <c r="A29" t="s">
        <v>33</v>
      </c>
    </row>
    <row r="30" spans="1:3" x14ac:dyDescent="0.3">
      <c r="A30" s="3" t="s">
        <v>26</v>
      </c>
      <c r="B30" t="s">
        <v>28</v>
      </c>
      <c r="C30" t="s">
        <v>29</v>
      </c>
    </row>
    <row r="31" spans="1:3" x14ac:dyDescent="0.3">
      <c r="A31" s="4" t="s">
        <v>19</v>
      </c>
      <c r="B31" s="6">
        <v>8.9</v>
      </c>
      <c r="C31" s="6">
        <v>25</v>
      </c>
    </row>
    <row r="32" spans="1:3" x14ac:dyDescent="0.3">
      <c r="A32" s="4" t="s">
        <v>18</v>
      </c>
      <c r="B32" s="6">
        <v>21.76</v>
      </c>
      <c r="C32" s="6">
        <v>163</v>
      </c>
    </row>
    <row r="33" spans="1:3" x14ac:dyDescent="0.3">
      <c r="A33" s="4" t="s">
        <v>17</v>
      </c>
      <c r="B33" s="6">
        <v>11.14</v>
      </c>
      <c r="C33" s="6">
        <v>49</v>
      </c>
    </row>
    <row r="34" spans="1:3" x14ac:dyDescent="0.3">
      <c r="A34" s="4" t="s">
        <v>27</v>
      </c>
      <c r="B34" s="6">
        <v>41.800000000000004</v>
      </c>
      <c r="C34" s="6">
        <v>237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71DF-E882-4A3C-8EB8-404B47D200F7}">
  <dimension ref="A1"/>
  <sheetViews>
    <sheetView showGridLines="0" tabSelected="1" zoomScaleNormal="100" workbookViewId="0">
      <selection activeCell="X39" sqref="W39:X39"/>
    </sheetView>
  </sheetViews>
  <sheetFormatPr defaultColWidth="8.77734375" defaultRowHeight="14.4" x14ac:dyDescent="0.3"/>
  <cols>
    <col min="1" max="16384" width="8.7773437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4DB8-5CAA-4C44-8676-957DC17E1532}">
  <dimension ref="A1:D4"/>
  <sheetViews>
    <sheetView workbookViewId="0">
      <selection sqref="A1:D4"/>
    </sheetView>
  </sheetViews>
  <sheetFormatPr defaultRowHeight="14.4" x14ac:dyDescent="0.3"/>
  <cols>
    <col min="1" max="1" width="21.33203125" bestFit="1" customWidth="1"/>
    <col min="3" max="3" width="13.21875" bestFit="1" customWidth="1"/>
  </cols>
  <sheetData>
    <row r="1" spans="1:4" x14ac:dyDescent="0.3">
      <c r="A1" t="s">
        <v>0</v>
      </c>
      <c r="B1" t="s">
        <v>1</v>
      </c>
      <c r="C1" t="s">
        <v>2</v>
      </c>
      <c r="D1" t="s">
        <v>3</v>
      </c>
    </row>
    <row r="2" spans="1:4" x14ac:dyDescent="0.3">
      <c r="A2" t="s">
        <v>4</v>
      </c>
      <c r="B2">
        <v>446</v>
      </c>
      <c r="C2">
        <v>92</v>
      </c>
      <c r="D2">
        <v>20.63</v>
      </c>
    </row>
    <row r="3" spans="1:4" x14ac:dyDescent="0.3">
      <c r="A3" t="s">
        <v>5</v>
      </c>
      <c r="B3">
        <v>961</v>
      </c>
      <c r="C3">
        <v>133</v>
      </c>
      <c r="D3">
        <v>13.84</v>
      </c>
    </row>
    <row r="4" spans="1:4" x14ac:dyDescent="0.3">
      <c r="A4" t="s">
        <v>6</v>
      </c>
      <c r="B4">
        <v>63</v>
      </c>
      <c r="C4">
        <v>12</v>
      </c>
      <c r="D4">
        <v>19.05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1F53-3EF9-483D-B643-BB950658CAF1}">
  <dimension ref="A1:J5"/>
  <sheetViews>
    <sheetView workbookViewId="0">
      <selection sqref="A1:D5"/>
    </sheetView>
  </sheetViews>
  <sheetFormatPr defaultRowHeight="14.4" x14ac:dyDescent="0.3"/>
  <cols>
    <col min="1" max="1" width="17" bestFit="1" customWidth="1"/>
    <col min="2" max="2" width="14.44140625" bestFit="1" customWidth="1"/>
    <col min="3" max="3" width="13.21875" bestFit="1" customWidth="1"/>
    <col min="4" max="4" width="19.21875" bestFit="1" customWidth="1"/>
  </cols>
  <sheetData>
    <row r="1" spans="1:10" x14ac:dyDescent="0.3">
      <c r="A1" t="s">
        <v>7</v>
      </c>
      <c r="B1" t="s">
        <v>1</v>
      </c>
      <c r="C1" t="s">
        <v>2</v>
      </c>
      <c r="D1" t="s">
        <v>3</v>
      </c>
    </row>
    <row r="2" spans="1:10" x14ac:dyDescent="0.3">
      <c r="A2" t="s">
        <v>8</v>
      </c>
      <c r="B2">
        <v>607</v>
      </c>
      <c r="C2">
        <v>91</v>
      </c>
      <c r="D2">
        <v>14.99</v>
      </c>
    </row>
    <row r="3" spans="1:10" x14ac:dyDescent="0.3">
      <c r="A3" t="s">
        <v>9</v>
      </c>
      <c r="B3">
        <v>547</v>
      </c>
      <c r="C3">
        <v>55</v>
      </c>
      <c r="D3">
        <v>10.050000000000001</v>
      </c>
      <c r="H3" t="s">
        <v>25</v>
      </c>
      <c r="J3">
        <f>SUM(C2:C5)/SUM(B2:B5)*100</f>
        <v>16.122448979591837</v>
      </c>
    </row>
    <row r="4" spans="1:10" x14ac:dyDescent="0.3">
      <c r="A4" t="s">
        <v>10</v>
      </c>
      <c r="B4">
        <v>123</v>
      </c>
      <c r="C4">
        <v>54</v>
      </c>
      <c r="D4">
        <v>43.9</v>
      </c>
    </row>
    <row r="5" spans="1:10" x14ac:dyDescent="0.3">
      <c r="A5" t="s">
        <v>11</v>
      </c>
      <c r="B5">
        <v>193</v>
      </c>
      <c r="C5">
        <v>37</v>
      </c>
      <c r="D5">
        <v>19.170000000000002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4E66-573E-45F5-9325-9C6E78862F9F}">
  <dimension ref="A1:D3"/>
  <sheetViews>
    <sheetView workbookViewId="0">
      <selection sqref="A1:D3"/>
    </sheetView>
  </sheetViews>
  <sheetFormatPr defaultRowHeight="14.4" x14ac:dyDescent="0.3"/>
  <cols>
    <col min="1" max="1" width="6.77734375" bestFit="1" customWidth="1"/>
    <col min="2" max="2" width="14.44140625" bestFit="1" customWidth="1"/>
    <col min="3" max="3" width="9.6640625" bestFit="1" customWidth="1"/>
    <col min="4" max="4" width="19.21875" bestFit="1" customWidth="1"/>
  </cols>
  <sheetData>
    <row r="1" spans="1:4" x14ac:dyDescent="0.3">
      <c r="A1" t="s">
        <v>12</v>
      </c>
      <c r="B1" t="s">
        <v>1</v>
      </c>
      <c r="C1" t="s">
        <v>13</v>
      </c>
      <c r="D1" t="s">
        <v>3</v>
      </c>
    </row>
    <row r="2" spans="1:4" x14ac:dyDescent="0.3">
      <c r="A2" t="s">
        <v>14</v>
      </c>
      <c r="B2">
        <v>588</v>
      </c>
      <c r="C2">
        <v>87</v>
      </c>
      <c r="D2">
        <v>14.8</v>
      </c>
    </row>
    <row r="3" spans="1:4" x14ac:dyDescent="0.3">
      <c r="A3" t="s">
        <v>15</v>
      </c>
      <c r="B3">
        <v>882</v>
      </c>
      <c r="C3">
        <v>150</v>
      </c>
      <c r="D3">
        <v>17.010000000000002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ECB5-5B85-4EFF-9078-BF5C60DD9A42}">
  <dimension ref="A1:D4"/>
  <sheetViews>
    <sheetView workbookViewId="0">
      <selection sqref="A1:D4"/>
    </sheetView>
  </sheetViews>
  <sheetFormatPr defaultRowHeight="14.4" x14ac:dyDescent="0.3"/>
  <cols>
    <col min="1" max="2" width="14.44140625" bestFit="1" customWidth="1"/>
    <col min="3" max="3" width="13.21875" bestFit="1" customWidth="1"/>
    <col min="4" max="4" width="19.21875" bestFit="1" customWidth="1"/>
  </cols>
  <sheetData>
    <row r="1" spans="1:4" x14ac:dyDescent="0.3">
      <c r="A1" t="s">
        <v>16</v>
      </c>
      <c r="B1" t="s">
        <v>1</v>
      </c>
      <c r="C1" t="s">
        <v>2</v>
      </c>
      <c r="D1" t="s">
        <v>3</v>
      </c>
    </row>
    <row r="2" spans="1:4" x14ac:dyDescent="0.3">
      <c r="A2" t="s">
        <v>17</v>
      </c>
      <c r="B2">
        <v>440</v>
      </c>
      <c r="C2">
        <v>49</v>
      </c>
      <c r="D2">
        <v>11.14</v>
      </c>
    </row>
    <row r="3" spans="1:4" x14ac:dyDescent="0.3">
      <c r="A3" t="s">
        <v>18</v>
      </c>
      <c r="B3">
        <v>749</v>
      </c>
      <c r="C3">
        <v>163</v>
      </c>
      <c r="D3">
        <v>21.76</v>
      </c>
    </row>
    <row r="4" spans="1:4" x14ac:dyDescent="0.3">
      <c r="A4" t="s">
        <v>19</v>
      </c>
      <c r="B4">
        <v>281</v>
      </c>
      <c r="C4">
        <v>25</v>
      </c>
      <c r="D4">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458F-1478-41D6-BB3A-DA55098F0AC2}">
  <dimension ref="E4:J11"/>
  <sheetViews>
    <sheetView topLeftCell="A4" workbookViewId="0">
      <selection activeCell="E4" sqref="E4:J12"/>
    </sheetView>
  </sheetViews>
  <sheetFormatPr defaultRowHeight="14.4" x14ac:dyDescent="0.3"/>
  <cols>
    <col min="9" max="9" width="6.88671875" bestFit="1" customWidth="1"/>
  </cols>
  <sheetData>
    <row r="4" spans="5:10" x14ac:dyDescent="0.3">
      <c r="E4" s="2" t="s">
        <v>20</v>
      </c>
    </row>
    <row r="5" spans="5:10" x14ac:dyDescent="0.3">
      <c r="E5" t="s">
        <v>21</v>
      </c>
      <c r="I5" s="1"/>
      <c r="J5" s="1">
        <v>0.161</v>
      </c>
    </row>
    <row r="7" spans="5:10" x14ac:dyDescent="0.3">
      <c r="E7" t="s">
        <v>22</v>
      </c>
      <c r="J7" s="1">
        <v>0.439</v>
      </c>
    </row>
    <row r="9" spans="5:10" x14ac:dyDescent="0.3">
      <c r="E9" t="s">
        <v>23</v>
      </c>
      <c r="J9" s="1">
        <v>0.20630000000000001</v>
      </c>
    </row>
    <row r="11" spans="5:10" x14ac:dyDescent="0.3">
      <c r="E11" t="s">
        <v>24</v>
      </c>
      <c r="J11" s="1">
        <v>0.21759999999999999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Pivots &amp; Charts</vt:lpstr>
      <vt:lpstr>Dashboard</vt:lpstr>
      <vt:lpstr>attrition_by_dept</vt:lpstr>
      <vt:lpstr>attrition_by_experience</vt:lpstr>
      <vt:lpstr>attrition_by_gender</vt:lpstr>
      <vt:lpstr>attrition_by_salary</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2026-03-07T11:11:18Z</dcterms:created>
  <dcterms:modified xsi:type="dcterms:W3CDTF">2026-04-17T08:19:54Z</dcterms:modified>
</cp:coreProperties>
</file>